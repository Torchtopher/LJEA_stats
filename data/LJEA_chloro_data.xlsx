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ml.chartshapes+xml"/>
  <Override PartName="/docProps/app.xml" ContentType="application/vnd.openxmlformats-officedocument.extended-properties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6" rupBuild="10917"/>
  <workbookPr/>
  <mc:AlternateContent xmlns:mc="http://schemas.openxmlformats.org/markup-compatibility/2006">
    <mc:Choice Requires="x15">
      <x15ac:absPath xmlns:x15ac="http://schemas.microsoft.com/office/spreadsheetml/2010/11/ac" url="/Users/markbrenner/My Drive/MacMove2021/School Stuff/NSURS and research/Lake James Chloro/"/>
    </mc:Choice>
  </mc:AlternateContent>
  <xr:revisionPtr revIDLastSave="0" documentId="13_ncr:1_{530647D8-B9B9-2748-9246-A76D3664BEE7}" xr6:coauthVersionLast="47" xr6:coauthVersionMax="47" xr10:uidLastSave="{00000000-0000-0000-0000-000000000000}"/>
  <bookViews>
    <workbookView activeTab="10" firstSheet="3" tabRatio="500" windowHeight="14220" windowWidth="26940" xWindow="140" xr2:uid="{00000000-000D-0000-FFFF-FFFF00000000}" yWindow="560"/>
  </bookViews>
  <sheets>
    <sheet name="2018 graph" sheetId="7" r:id="rId1"/>
    <sheet name="2018" sheetId="1" r:id="rId2"/>
    <sheet name="2019 graph" sheetId="8" r:id="rId3"/>
    <sheet name="2019" sheetId="2" r:id="rId4"/>
    <sheet name="2020 graph" sheetId="10" r:id="rId5"/>
    <sheet name="2020" sheetId="3" r:id="rId6"/>
    <sheet name="Trend 18-23" sheetId="14" r:id="rId7"/>
    <sheet name="Trend 2018-2025" sheetId="18" r:id="rId8"/>
    <sheet name="2021 Graph" sheetId="11" r:id="rId9"/>
    <sheet name="2021" sheetId="4" r:id="rId10"/>
    <sheet name="Lake mean over time" sheetId="6" r:id="rId11"/>
    <sheet name="Sheet1" sheetId="5" r:id="rId12"/>
    <sheet name="2022" sheetId="12" r:id="rId13"/>
    <sheet name="2023" sheetId="13" r:id="rId14"/>
    <sheet name="2024" sheetId="15" r:id="rId15"/>
    <sheet name="2025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<sst xmlns="http://schemas.openxmlformats.org/spreadsheetml/2006/main" count="117" uniqueCount="38">
  <si>
    <t>Lake James Chlorophyll analysis 2018</t>
  </si>
  <si>
    <t>Date</t>
  </si>
  <si>
    <t>LJ 7 (µg/L)</t>
  </si>
  <si>
    <t>LJ 8 (µg/L)</t>
  </si>
  <si>
    <t>LJ 9 (µg/L)</t>
  </si>
  <si>
    <t>LJ 11 (µg/L)</t>
  </si>
  <si>
    <t>LJ 6 (µg/L)</t>
  </si>
  <si>
    <t>Sites</t>
  </si>
  <si>
    <t>Lake James Chlorophyll analysis 2019</t>
  </si>
  <si>
    <t>Lake James Chlorophyll analysis 2020</t>
  </si>
  <si>
    <t>Lake James Chlorophyll analysis 2021</t>
  </si>
  <si>
    <t>mean</t>
  </si>
  <si>
    <t>Mean</t>
  </si>
  <si>
    <t>Year</t>
  </si>
  <si>
    <t>Mean May-Oct. Chloro</t>
  </si>
  <si>
    <t xml:space="preserve"> Site means over time</t>
  </si>
  <si>
    <t>site 6</t>
  </si>
  <si>
    <t>site 7</t>
  </si>
  <si>
    <t>site 8</t>
  </si>
  <si>
    <t>site 9</t>
  </si>
  <si>
    <t>site 11</t>
  </si>
  <si>
    <t>w/o PP</t>
  </si>
  <si>
    <t>mean w/o 6</t>
  </si>
  <si>
    <t>mean w/o LJ6</t>
  </si>
  <si>
    <t>Lake James Chlorophyll analysis 2022</t>
  </si>
  <si>
    <t>Lake James Chlorophyll analysis 2023</t>
  </si>
  <si>
    <t>LJ 28</t>
  </si>
  <si>
    <t>Change over time</t>
  </si>
  <si>
    <t>Whole lake</t>
  </si>
  <si>
    <t>w/o LJ 6</t>
  </si>
  <si>
    <t>Lake James Chlorophyll analysis 2024</t>
  </si>
  <si>
    <t xml:space="preserve">  May 2025</t>
  </si>
  <si>
    <t xml:space="preserve">  June 2025</t>
  </si>
  <si>
    <t>Lake James Chlorophyll analysis 2025</t>
  </si>
  <si>
    <t xml:space="preserve"> July 2025</t>
  </si>
  <si>
    <t xml:space="preserve"> Aug. 2025</t>
  </si>
  <si>
    <t xml:space="preserve"> Oct. 2025</t>
  </si>
  <si>
    <t xml:space="preserve"> Sept. 2025</t>
  </si>
</sst>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16r2="http://schemas.microsoft.com/office/spreadsheetml/2015/02/main" xmlns:xdr="http://schemas.openxmlformats.org/drawingml/2006/spreadsheetDrawing" xmlns:xr="http://schemas.microsoft.com/office/spreadsheetml/2014/revision" count="1" mc:Ignorable="x14ac x16r2 xr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64" formatCode="0.0"/>
  </numFmts>
  <fonts count="2">
    <font>
      <name val="Calibri"/>
      <family val="2"/>
      <color rgb="FF000000"/>
      <sz val="12"/>
      <scheme val="minor"/>
    </font>
    <font>
      <name val="Calibri"/>
      <family val="2"/>
      <color rgb="FF000000"/>
      <sz val="12"/>
      <scheme val="minor"/>
    </font>
  </fonts>
  <fills count="2">
    <fill>
      <patternFill patternType="none"/>
    </fill>
    <fill>
      <patternFill patternType="gray125"/>
    </fill>
  </fills>
  <borders count="1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</borders>
  <cellStyleXfs count="1">
    <xf numFmtId="0" fontId="0" fillId="0" borderId="0" xfId="0"/>
  </cellStyleXfs>
  <cellXfs count="1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chartsheet" Target="chartsheets/sheet1.xml" TargetMode="Internal"/><Relationship Id="rId10" Type="http://schemas.openxmlformats.org/officeDocument/2006/relationships/worksheet" Target="worksheets/sheet6.xml" TargetMode="Internal"/><Relationship Id="rId11" Type="http://schemas.openxmlformats.org/officeDocument/2006/relationships/chartsheet" Target="chartsheets/sheet5.xml" TargetMode="Internal"/><Relationship Id="rId12" Type="http://schemas.openxmlformats.org/officeDocument/2006/relationships/worksheet" Target="worksheets/sheet7.xml" TargetMode="Internal"/><Relationship Id="rId13" Type="http://schemas.openxmlformats.org/officeDocument/2006/relationships/worksheet" Target="worksheets/sheet8.xml" TargetMode="Internal"/><Relationship Id="rId14" Type="http://schemas.openxmlformats.org/officeDocument/2006/relationships/worksheet" Target="worksheets/sheet9.xml" TargetMode="Internal"/><Relationship Id="rId15" Type="http://schemas.openxmlformats.org/officeDocument/2006/relationships/worksheet" Target="worksheets/sheet10.xml" TargetMode="Internal"/><Relationship Id="rId16" Type="http://schemas.openxmlformats.org/officeDocument/2006/relationships/worksheet" Target="worksheets/sheet11.xml" TargetMode="Internal"/><Relationship Id="rId17" Type="http://schemas.openxmlformats.org/officeDocument/2006/relationships/theme" Target="theme/theme1.xml" TargetMode="Internal"/><Relationship Id="rId18" Type="http://schemas.openxmlformats.org/officeDocument/2006/relationships/styles" Target="styles.xml" TargetMode="Internal"/><Relationship Id="rId19" Type="http://schemas.openxmlformats.org/officeDocument/2006/relationships/sharedStrings" Target="sharedStrings.xml" TargetMode="Internal"/><Relationship Id="rId2" Type="http://schemas.openxmlformats.org/officeDocument/2006/relationships/worksheet" Target="worksheets/sheet1.xml" TargetMode="Internal"/><Relationship Id="rId20" Type="http://schemas.openxmlformats.org/officeDocument/2006/relationships/calcChain" Target="calcChain.xml" TargetMode="Internal"/><Relationship Id="rId3" Type="http://schemas.openxmlformats.org/officeDocument/2006/relationships/chartsheet" Target="chartsheets/sheet2.xml" TargetMode="Internal"/><Relationship Id="rId4" Type="http://schemas.openxmlformats.org/officeDocument/2006/relationships/worksheet" Target="worksheets/sheet2.xml" TargetMode="Internal"/><Relationship Id="rId5" Type="http://schemas.openxmlformats.org/officeDocument/2006/relationships/chartsheet" Target="chartsheets/sheet3.xml" TargetMode="Internal"/><Relationship Id="rId6" Type="http://schemas.openxmlformats.org/officeDocument/2006/relationships/worksheet" Target="worksheets/sheet3.xml" TargetMode="Internal"/><Relationship Id="rId7" Type="http://schemas.openxmlformats.org/officeDocument/2006/relationships/worksheet" Target="worksheets/sheet4.xml" TargetMode="Internal"/><Relationship Id="rId8" Type="http://schemas.openxmlformats.org/officeDocument/2006/relationships/worksheet" Target="worksheets/sheet5.xml" TargetMode="Internal"/><Relationship Id="rId9" Type="http://schemas.openxmlformats.org/officeDocument/2006/relationships/chartsheet" Target="chartsheets/sheet4.xml" TargetMode="Interna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2018 Chlorophyll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'2018'!$C$5</c:f>
              <c:strCache>
                <c:ptCount val="1"/>
                <c:pt idx="0">
                  <c:v>LJ 6 (µg/L)</c:v>
                </c:pt>
              </c:strCache>
            </c:strRef>
          </c:tx>
          <c:spPr>
            <a:ln cap="rnd" w="19050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'2018'!$B$6:$B$11</c:f>
              <c:numCache>
                <c:formatCode>m/d/yy</c:formatCode>
                <c:ptCount val="6"/>
                <c:pt idx="0">
                  <c:v>43246</c:v>
                </c:pt>
                <c:pt idx="1">
                  <c:v>43274</c:v>
                </c:pt>
                <c:pt idx="2">
                  <c:v>43309</c:v>
                </c:pt>
                <c:pt idx="3">
                  <c:v>43337</c:v>
                </c:pt>
                <c:pt idx="4">
                  <c:v>43365</c:v>
                </c:pt>
                <c:pt idx="5">
                  <c:v>43400</c:v>
                </c:pt>
              </c:numCache>
            </c:numRef>
          </c:xVal>
          <c:yVal>
            <c:numRef>
              <c:f>'2018'!$C$6:$C$11</c:f>
              <c:numCache>
                <c:formatCode>0.00</c:formatCode>
                <c:ptCount val="6"/>
                <c:pt idx="0">
                  <c:v>1.1299999999999999</c:v>
                </c:pt>
                <c:pt idx="1">
                  <c:v>5.53</c:v>
                </c:pt>
                <c:pt idx="2" formatCode="0.0">
                  <c:v>12.4</c:v>
                </c:pt>
                <c:pt idx="3" formatCode="General">
                  <c:v>16.7</c:v>
                </c:pt>
                <c:pt idx="4" formatCode="General">
                  <c:v>5.8</c:v>
                </c:pt>
                <c:pt idx="5" formatCode="General">
                  <c:v>0.6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C84-8B49-A2AA-64F82C316564}"/>
            </c:ext>
          </c:extLst>
        </c:ser>
        <c:ser>
          <c:idx val="1"/>
          <c:order val="1"/>
          <c:tx>
            <c:strRef>
              <c:f>'2018'!$D$5</c:f>
              <c:strCache>
                <c:ptCount val="1"/>
                <c:pt idx="0">
                  <c:v>LJ 7 (µg/L)</c:v>
                </c:pt>
              </c:strCache>
            </c:strRef>
          </c:tx>
          <c:spPr>
            <a:ln cap="rnd" w="19050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'2018'!$B$6:$B$11</c:f>
              <c:numCache>
                <c:formatCode>m/d/yy</c:formatCode>
                <c:ptCount val="6"/>
                <c:pt idx="0">
                  <c:v>43246</c:v>
                </c:pt>
                <c:pt idx="1">
                  <c:v>43274</c:v>
                </c:pt>
                <c:pt idx="2">
                  <c:v>43309</c:v>
                </c:pt>
                <c:pt idx="3">
                  <c:v>43337</c:v>
                </c:pt>
                <c:pt idx="4">
                  <c:v>43365</c:v>
                </c:pt>
                <c:pt idx="5">
                  <c:v>43400</c:v>
                </c:pt>
              </c:numCache>
            </c:numRef>
          </c:xVal>
          <c:yVal>
            <c:numRef>
              <c:f>'2018'!$D$6:$D$11</c:f>
              <c:numCache>
                <c:formatCode>0.00</c:formatCode>
                <c:ptCount val="6"/>
                <c:pt idx="0">
                  <c:v>1.26</c:v>
                </c:pt>
                <c:pt idx="1">
                  <c:v>2.2999999999999998</c:v>
                </c:pt>
                <c:pt idx="2" formatCode="0.0">
                  <c:v>0.6</c:v>
                </c:pt>
                <c:pt idx="3" formatCode="General">
                  <c:v>3.2</c:v>
                </c:pt>
                <c:pt idx="4" formatCode="General">
                  <c:v>4.5</c:v>
                </c:pt>
                <c:pt idx="5" formatCode="General">
                  <c:v>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C84-8B49-A2AA-64F82C316564}"/>
            </c:ext>
          </c:extLst>
        </c:ser>
        <c:ser>
          <c:idx val="2"/>
          <c:order val="2"/>
          <c:tx>
            <c:strRef>
              <c:f>'2018'!$E$5</c:f>
              <c:strCache>
                <c:ptCount val="1"/>
                <c:pt idx="0">
                  <c:v>LJ 8 (µg/L)</c:v>
                </c:pt>
              </c:strCache>
            </c:strRef>
          </c:tx>
          <c:spPr>
            <a:ln cap="rnd" w="19050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'2018'!$B$6:$B$11</c:f>
              <c:numCache>
                <c:formatCode>m/d/yy</c:formatCode>
                <c:ptCount val="6"/>
                <c:pt idx="0">
                  <c:v>43246</c:v>
                </c:pt>
                <c:pt idx="1">
                  <c:v>43274</c:v>
                </c:pt>
                <c:pt idx="2">
                  <c:v>43309</c:v>
                </c:pt>
                <c:pt idx="3">
                  <c:v>43337</c:v>
                </c:pt>
                <c:pt idx="4">
                  <c:v>43365</c:v>
                </c:pt>
                <c:pt idx="5">
                  <c:v>43400</c:v>
                </c:pt>
              </c:numCache>
            </c:numRef>
          </c:xVal>
          <c:yVal>
            <c:numRef>
              <c:f>'2018'!$E$6:$E$11</c:f>
              <c:numCache>
                <c:formatCode>0.00</c:formatCode>
                <c:ptCount val="6"/>
                <c:pt idx="0">
                  <c:v>1.1499999999999999</c:v>
                </c:pt>
                <c:pt idx="1">
                  <c:v>1.17</c:v>
                </c:pt>
                <c:pt idx="2" formatCode="0.0">
                  <c:v>0.9</c:v>
                </c:pt>
                <c:pt idx="3" formatCode="General">
                  <c:v>2.1</c:v>
                </c:pt>
                <c:pt idx="4" formatCode="General">
                  <c:v>2.4</c:v>
                </c:pt>
                <c:pt idx="5" formatCode="General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C84-8B49-A2AA-64F82C316564}"/>
            </c:ext>
          </c:extLst>
        </c:ser>
        <c:ser>
          <c:idx val="3"/>
          <c:order val="3"/>
          <c:tx>
            <c:strRef>
              <c:f>'2018'!$F$5</c:f>
              <c:strCache>
                <c:ptCount val="1"/>
                <c:pt idx="0">
                  <c:v>LJ 9 (µg/L)</c:v>
                </c:pt>
              </c:strCache>
            </c:strRef>
          </c:tx>
          <c:spPr>
            <a:ln cap="rnd" w="19050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'2018'!$B$6:$B$11</c:f>
              <c:numCache>
                <c:formatCode>m/d/yy</c:formatCode>
                <c:ptCount val="6"/>
                <c:pt idx="0">
                  <c:v>43246</c:v>
                </c:pt>
                <c:pt idx="1">
                  <c:v>43274</c:v>
                </c:pt>
                <c:pt idx="2">
                  <c:v>43309</c:v>
                </c:pt>
                <c:pt idx="3">
                  <c:v>43337</c:v>
                </c:pt>
                <c:pt idx="4">
                  <c:v>43365</c:v>
                </c:pt>
                <c:pt idx="5">
                  <c:v>43400</c:v>
                </c:pt>
              </c:numCache>
            </c:numRef>
          </c:xVal>
          <c:yVal>
            <c:numRef>
              <c:f>'2018'!$F$6:$F$11</c:f>
              <c:numCache>
                <c:formatCode>0.00</c:formatCode>
                <c:ptCount val="6"/>
                <c:pt idx="0">
                  <c:v>2.65</c:v>
                </c:pt>
                <c:pt idx="1">
                  <c:v>3.35</c:v>
                </c:pt>
                <c:pt idx="2" formatCode="0.0">
                  <c:v>1.9</c:v>
                </c:pt>
                <c:pt idx="3" formatCode="General">
                  <c:v>3</c:v>
                </c:pt>
                <c:pt idx="4" formatCode="General">
                  <c:v>1.1000000000000001</c:v>
                </c:pt>
                <c:pt idx="5" formatCode="General">
                  <c:v>0.5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C84-8B49-A2AA-64F82C316564}"/>
            </c:ext>
          </c:extLst>
        </c:ser>
        <c:ser>
          <c:idx val="4"/>
          <c:order val="4"/>
          <c:tx>
            <c:strRef>
              <c:f>'2018'!$G$5</c:f>
              <c:strCache>
                <c:ptCount val="1"/>
                <c:pt idx="0">
                  <c:v>LJ 11 (µg/L)</c:v>
                </c:pt>
              </c:strCache>
            </c:strRef>
          </c:tx>
          <c:spPr>
            <a:ln cap="rnd" w="19050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'2018'!$B$6:$B$11</c:f>
              <c:numCache>
                <c:formatCode>m/d/yy</c:formatCode>
                <c:ptCount val="6"/>
                <c:pt idx="0">
                  <c:v>43246</c:v>
                </c:pt>
                <c:pt idx="1">
                  <c:v>43274</c:v>
                </c:pt>
                <c:pt idx="2">
                  <c:v>43309</c:v>
                </c:pt>
                <c:pt idx="3">
                  <c:v>43337</c:v>
                </c:pt>
                <c:pt idx="4">
                  <c:v>43365</c:v>
                </c:pt>
                <c:pt idx="5">
                  <c:v>43400</c:v>
                </c:pt>
              </c:numCache>
            </c:numRef>
          </c:xVal>
          <c:yVal>
            <c:numRef>
              <c:f>'2018'!$G$6:$G$11</c:f>
              <c:numCache>
                <c:formatCode>0.00</c:formatCode>
                <c:ptCount val="6"/>
                <c:pt idx="0">
                  <c:v>2.11</c:v>
                </c:pt>
                <c:pt idx="1">
                  <c:v>3.33</c:v>
                </c:pt>
                <c:pt idx="2" formatCode="0.0">
                  <c:v>3</c:v>
                </c:pt>
                <c:pt idx="3" formatCode="General">
                  <c:v>2.5</c:v>
                </c:pt>
                <c:pt idx="4" formatCode="General">
                  <c:v>0.8</c:v>
                </c:pt>
                <c:pt idx="5" formatCode="General">
                  <c:v>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C84-8B49-A2AA-64F82C316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9336416"/>
        <c:axId val="439319056"/>
      </c:scatterChart>
      <c:valAx>
        <c:axId val="439336416"/>
        <c:scaling>
          <c:max val="43410.000000"/>
          <c:min val="43221.00000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319056"/>
        <c:crosses val="autoZero"/>
        <c:crossBetween val="midCat"/>
      </c:valAx>
      <c:valAx>
        <c:axId val="439319056"/>
        <c:scaling>
          <c:max val="20.00000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Chlorophyll</a:t>
                </a:r>
                <a:r>
                  <a:rPr lang="en-US" sz="1600" baseline="0"/>
                  <a:t> a  (µg/L)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5.8510637072570005E-3"/>
              <c:y val="0.351767159498642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9336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2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2019 Chlorophyll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'2019'!$C$5</c:f>
              <c:strCache>
                <c:ptCount val="1"/>
                <c:pt idx="0">
                  <c:v>LJ 6 (µg/L)</c:v>
                </c:pt>
              </c:strCache>
            </c:strRef>
          </c:tx>
          <c:spPr>
            <a:ln cap="rnd" w="19050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'2019'!$B$6:$B$11</c:f>
              <c:numCache>
                <c:formatCode>m/d/yy</c:formatCode>
                <c:ptCount val="6"/>
                <c:pt idx="0">
                  <c:v>43610</c:v>
                </c:pt>
                <c:pt idx="1">
                  <c:v>43638</c:v>
                </c:pt>
                <c:pt idx="2">
                  <c:v>43673</c:v>
                </c:pt>
                <c:pt idx="3">
                  <c:v>43701</c:v>
                </c:pt>
                <c:pt idx="4">
                  <c:v>43736</c:v>
                </c:pt>
                <c:pt idx="5">
                  <c:v>43764</c:v>
                </c:pt>
              </c:numCache>
            </c:numRef>
          </c:xVal>
          <c:yVal>
            <c:numRef>
              <c:f>'2019'!$C$6:$C$11</c:f>
              <c:numCache>
                <c:formatCode>General</c:formatCode>
                <c:ptCount val="6"/>
                <c:pt idx="0">
                  <c:v>4.2</c:v>
                </c:pt>
                <c:pt idx="1">
                  <c:v>2.6</c:v>
                </c:pt>
                <c:pt idx="2">
                  <c:v>7.6</c:v>
                </c:pt>
                <c:pt idx="3">
                  <c:v>13.5</c:v>
                </c:pt>
                <c:pt idx="4">
                  <c:v>10.6</c:v>
                </c:pt>
                <c:pt idx="5">
                  <c:v>13.8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0B8-9741-97A3-9F995BE1204D}"/>
            </c:ext>
          </c:extLst>
        </c:ser>
        <c:ser>
          <c:idx val="1"/>
          <c:order val="1"/>
          <c:tx>
            <c:strRef>
              <c:f>'2019'!$D$5</c:f>
              <c:strCache>
                <c:ptCount val="1"/>
                <c:pt idx="0">
                  <c:v>LJ 7 (µg/L)</c:v>
                </c:pt>
              </c:strCache>
            </c:strRef>
          </c:tx>
          <c:spPr>
            <a:ln cap="rnd" w="19050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'2019'!$B$6:$B$11</c:f>
              <c:numCache>
                <c:formatCode>m/d/yy</c:formatCode>
                <c:ptCount val="6"/>
                <c:pt idx="0">
                  <c:v>43610</c:v>
                </c:pt>
                <c:pt idx="1">
                  <c:v>43638</c:v>
                </c:pt>
                <c:pt idx="2">
                  <c:v>43673</c:v>
                </c:pt>
                <c:pt idx="3">
                  <c:v>43701</c:v>
                </c:pt>
                <c:pt idx="4">
                  <c:v>43736</c:v>
                </c:pt>
                <c:pt idx="5">
                  <c:v>43764</c:v>
                </c:pt>
              </c:numCache>
            </c:numRef>
          </c:xVal>
          <c:yVal>
            <c:numRef>
              <c:f>'2019'!$D$6:$D$11</c:f>
              <c:numCache>
                <c:formatCode>General</c:formatCode>
                <c:ptCount val="6"/>
                <c:pt idx="0">
                  <c:v>2.9</c:v>
                </c:pt>
                <c:pt idx="1">
                  <c:v>3.3</c:v>
                </c:pt>
                <c:pt idx="2">
                  <c:v>5.6</c:v>
                </c:pt>
                <c:pt idx="3">
                  <c:v>4.8</c:v>
                </c:pt>
                <c:pt idx="4">
                  <c:v>3.1</c:v>
                </c:pt>
                <c:pt idx="5">
                  <c:v>9.1999999999999993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0B8-9741-97A3-9F995BE1204D}"/>
            </c:ext>
          </c:extLst>
        </c:ser>
        <c:ser>
          <c:idx val="2"/>
          <c:order val="2"/>
          <c:tx>
            <c:strRef>
              <c:f>'2019'!$E$5</c:f>
              <c:strCache>
                <c:ptCount val="1"/>
                <c:pt idx="0">
                  <c:v>LJ 8 (µg/L)</c:v>
                </c:pt>
              </c:strCache>
            </c:strRef>
          </c:tx>
          <c:spPr>
            <a:ln cap="rnd" w="19050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'2019'!$B$6:$B$11</c:f>
              <c:numCache>
                <c:formatCode>m/d/yy</c:formatCode>
                <c:ptCount val="6"/>
                <c:pt idx="0">
                  <c:v>43610</c:v>
                </c:pt>
                <c:pt idx="1">
                  <c:v>43638</c:v>
                </c:pt>
                <c:pt idx="2">
                  <c:v>43673</c:v>
                </c:pt>
                <c:pt idx="3">
                  <c:v>43701</c:v>
                </c:pt>
                <c:pt idx="4">
                  <c:v>43736</c:v>
                </c:pt>
                <c:pt idx="5">
                  <c:v>43764</c:v>
                </c:pt>
              </c:numCache>
            </c:numRef>
          </c:xVal>
          <c:yVal>
            <c:numRef>
              <c:f>'2019'!$E$6:$E$11</c:f>
              <c:numCache>
                <c:formatCode>General</c:formatCode>
                <c:ptCount val="6"/>
                <c:pt idx="0">
                  <c:v>1.2</c:v>
                </c:pt>
                <c:pt idx="1">
                  <c:v>2.6</c:v>
                </c:pt>
                <c:pt idx="2">
                  <c:v>2.6</c:v>
                </c:pt>
                <c:pt idx="3">
                  <c:v>2.7</c:v>
                </c:pt>
                <c:pt idx="4">
                  <c:v>1.5</c:v>
                </c:pt>
                <c:pt idx="5">
                  <c:v>6.2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0B8-9741-97A3-9F995BE1204D}"/>
            </c:ext>
          </c:extLst>
        </c:ser>
        <c:ser>
          <c:idx val="3"/>
          <c:order val="3"/>
          <c:tx>
            <c:strRef>
              <c:f>'2019'!$F$5</c:f>
              <c:strCache>
                <c:ptCount val="1"/>
                <c:pt idx="0">
                  <c:v>LJ 9 (µg/L)</c:v>
                </c:pt>
              </c:strCache>
            </c:strRef>
          </c:tx>
          <c:spPr>
            <a:ln cap="rnd" w="19050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'2019'!$B$6:$B$11</c:f>
              <c:numCache>
                <c:formatCode>m/d/yy</c:formatCode>
                <c:ptCount val="6"/>
                <c:pt idx="0">
                  <c:v>43610</c:v>
                </c:pt>
                <c:pt idx="1">
                  <c:v>43638</c:v>
                </c:pt>
                <c:pt idx="2">
                  <c:v>43673</c:v>
                </c:pt>
                <c:pt idx="3">
                  <c:v>43701</c:v>
                </c:pt>
                <c:pt idx="4">
                  <c:v>43736</c:v>
                </c:pt>
                <c:pt idx="5">
                  <c:v>43764</c:v>
                </c:pt>
              </c:numCache>
            </c:numRef>
          </c:xVal>
          <c:yVal>
            <c:numRef>
              <c:f>'2019'!$F$6:$F$11</c:f>
              <c:numCache>
                <c:formatCode>General</c:formatCode>
                <c:ptCount val="6"/>
                <c:pt idx="0">
                  <c:v>1.6</c:v>
                </c:pt>
                <c:pt idx="1">
                  <c:v>3.5</c:v>
                </c:pt>
                <c:pt idx="2">
                  <c:v>2.7</c:v>
                </c:pt>
                <c:pt idx="3">
                  <c:v>3.5</c:v>
                </c:pt>
                <c:pt idx="4">
                  <c:v>1.6</c:v>
                </c:pt>
                <c:pt idx="5">
                  <c:v>3.1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0B8-9741-97A3-9F995BE1204D}"/>
            </c:ext>
          </c:extLst>
        </c:ser>
        <c:ser>
          <c:idx val="4"/>
          <c:order val="4"/>
          <c:tx>
            <c:strRef>
              <c:f>'2019'!$G$5</c:f>
              <c:strCache>
                <c:ptCount val="1"/>
                <c:pt idx="0">
                  <c:v>LJ 11 (µg/L)</c:v>
                </c:pt>
              </c:strCache>
            </c:strRef>
          </c:tx>
          <c:spPr>
            <a:ln cap="rnd" w="19050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'2019'!$B$6:$B$11</c:f>
              <c:numCache>
                <c:formatCode>m/d/yy</c:formatCode>
                <c:ptCount val="6"/>
                <c:pt idx="0">
                  <c:v>43610</c:v>
                </c:pt>
                <c:pt idx="1">
                  <c:v>43638</c:v>
                </c:pt>
                <c:pt idx="2">
                  <c:v>43673</c:v>
                </c:pt>
                <c:pt idx="3">
                  <c:v>43701</c:v>
                </c:pt>
                <c:pt idx="4">
                  <c:v>43736</c:v>
                </c:pt>
                <c:pt idx="5">
                  <c:v>43764</c:v>
                </c:pt>
              </c:numCache>
            </c:numRef>
          </c:xVal>
          <c:yVal>
            <c:numRef>
              <c:f>'2019'!$G$6:$G$11</c:f>
              <c:numCache>
                <c:formatCode>General</c:formatCode>
                <c:ptCount val="6"/>
                <c:pt idx="0">
                  <c:v>2.2000000000000002</c:v>
                </c:pt>
                <c:pt idx="1">
                  <c:v>3.6</c:v>
                </c:pt>
                <c:pt idx="2">
                  <c:v>3.1</c:v>
                </c:pt>
                <c:pt idx="3">
                  <c:v>3.5</c:v>
                </c:pt>
                <c:pt idx="4">
                  <c:v>2</c:v>
                </c:pt>
                <c:pt idx="5">
                  <c:v>4.4000000000000004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0B8-9741-97A3-9F995BE12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9651312"/>
        <c:axId val="969670656"/>
      </c:scatterChart>
      <c:valAx>
        <c:axId val="969651312"/>
        <c:scaling>
          <c:max val="43768.000000"/>
          <c:min val="43586.00000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670656"/>
        <c:crosses val="autoZero"/>
        <c:crossBetween val="midCat"/>
      </c:valAx>
      <c:valAx>
        <c:axId val="969670656"/>
        <c:scaling>
          <c:max val="20.00000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Chlorophyll</a:t>
                </a:r>
                <a:r>
                  <a:rPr lang="en-US" sz="1600" baseline="0"/>
                  <a:t> a (µg/L)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0"/>
              <c:y val="0.35339709513557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96513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3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2020 Chlorophyll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'2020'!$C$5</c:f>
              <c:strCache>
                <c:ptCount val="1"/>
                <c:pt idx="0">
                  <c:v>LJ 6 (µg/L)</c:v>
                </c:pt>
              </c:strCache>
            </c:strRef>
          </c:tx>
          <c:spPr>
            <a:ln cap="rnd" w="19050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'2020'!$B$6:$B$11</c:f>
              <c:numCache>
                <c:formatCode>m/d/yy</c:formatCode>
                <c:ptCount val="6"/>
                <c:pt idx="0">
                  <c:v>43974</c:v>
                </c:pt>
                <c:pt idx="1">
                  <c:v>44009</c:v>
                </c:pt>
                <c:pt idx="2">
                  <c:v>44037</c:v>
                </c:pt>
                <c:pt idx="3">
                  <c:v>44065</c:v>
                </c:pt>
                <c:pt idx="4">
                  <c:v>44100</c:v>
                </c:pt>
                <c:pt idx="5">
                  <c:v>44128</c:v>
                </c:pt>
              </c:numCache>
            </c:numRef>
          </c:xVal>
          <c:yVal>
            <c:numRef>
              <c:f>'2020'!$C$6:$C$11</c:f>
              <c:numCache>
                <c:formatCode>General</c:formatCode>
                <c:ptCount val="6"/>
                <c:pt idx="0">
                  <c:v>0.1</c:v>
                </c:pt>
                <c:pt idx="1">
                  <c:v>3.6</c:v>
                </c:pt>
                <c:pt idx="2">
                  <c:v>7.7</c:v>
                </c:pt>
                <c:pt idx="3">
                  <c:v>2.8</c:v>
                </c:pt>
                <c:pt idx="4">
                  <c:v>1.6</c:v>
                </c:pt>
                <c:pt idx="5">
                  <c:v>1.1000000000000001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B4D-1547-87D5-579AC0D3C33D}"/>
            </c:ext>
          </c:extLst>
        </c:ser>
        <c:ser>
          <c:idx val="1"/>
          <c:order val="1"/>
          <c:tx>
            <c:strRef>
              <c:f>'2020'!$D$5</c:f>
              <c:strCache>
                <c:ptCount val="1"/>
                <c:pt idx="0">
                  <c:v>LJ 7 (µg/L)</c:v>
                </c:pt>
              </c:strCache>
            </c:strRef>
          </c:tx>
          <c:spPr>
            <a:ln cap="rnd" w="19050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'2020'!$B$6:$B$11</c:f>
              <c:numCache>
                <c:formatCode>m/d/yy</c:formatCode>
                <c:ptCount val="6"/>
                <c:pt idx="0">
                  <c:v>43974</c:v>
                </c:pt>
                <c:pt idx="1">
                  <c:v>44009</c:v>
                </c:pt>
                <c:pt idx="2">
                  <c:v>44037</c:v>
                </c:pt>
                <c:pt idx="3">
                  <c:v>44065</c:v>
                </c:pt>
                <c:pt idx="4">
                  <c:v>44100</c:v>
                </c:pt>
                <c:pt idx="5">
                  <c:v>44128</c:v>
                </c:pt>
              </c:numCache>
            </c:numRef>
          </c:xVal>
          <c:yVal>
            <c:numRef>
              <c:f>'2020'!$D$6:$D$11</c:f>
              <c:numCache>
                <c:formatCode>General</c:formatCode>
                <c:ptCount val="6"/>
                <c:pt idx="0">
                  <c:v>4.0999999999999996</c:v>
                </c:pt>
                <c:pt idx="1">
                  <c:v>1.7</c:v>
                </c:pt>
                <c:pt idx="2">
                  <c:v>4</c:v>
                </c:pt>
                <c:pt idx="3">
                  <c:v>16.399999999999999</c:v>
                </c:pt>
                <c:pt idx="4">
                  <c:v>8.1999999999999993</c:v>
                </c:pt>
                <c:pt idx="5">
                  <c:v>8.4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B4D-1547-87D5-579AC0D3C33D}"/>
            </c:ext>
          </c:extLst>
        </c:ser>
        <c:ser>
          <c:idx val="2"/>
          <c:order val="2"/>
          <c:tx>
            <c:strRef>
              <c:f>'2020'!$E$5</c:f>
              <c:strCache>
                <c:ptCount val="1"/>
                <c:pt idx="0">
                  <c:v>LJ 8 (µg/L)</c:v>
                </c:pt>
              </c:strCache>
            </c:strRef>
          </c:tx>
          <c:spPr>
            <a:ln cap="rnd" w="19050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'2020'!$B$6:$B$11</c:f>
              <c:numCache>
                <c:formatCode>m/d/yy</c:formatCode>
                <c:ptCount val="6"/>
                <c:pt idx="0">
                  <c:v>43974</c:v>
                </c:pt>
                <c:pt idx="1">
                  <c:v>44009</c:v>
                </c:pt>
                <c:pt idx="2">
                  <c:v>44037</c:v>
                </c:pt>
                <c:pt idx="3">
                  <c:v>44065</c:v>
                </c:pt>
                <c:pt idx="4">
                  <c:v>44100</c:v>
                </c:pt>
                <c:pt idx="5">
                  <c:v>44128</c:v>
                </c:pt>
              </c:numCache>
            </c:numRef>
          </c:xVal>
          <c:yVal>
            <c:numRef>
              <c:f>'2020'!$E$6:$E$11</c:f>
              <c:numCache>
                <c:formatCode>General</c:formatCode>
                <c:ptCount val="6"/>
                <c:pt idx="0">
                  <c:v>4.5</c:v>
                </c:pt>
                <c:pt idx="1">
                  <c:v>1.2</c:v>
                </c:pt>
                <c:pt idx="2">
                  <c:v>1.8</c:v>
                </c:pt>
                <c:pt idx="3">
                  <c:v>8.9</c:v>
                </c:pt>
                <c:pt idx="4">
                  <c:v>6.1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B4D-1547-87D5-579AC0D3C33D}"/>
            </c:ext>
          </c:extLst>
        </c:ser>
        <c:ser>
          <c:idx val="3"/>
          <c:order val="3"/>
          <c:tx>
            <c:strRef>
              <c:f>'2020'!$F$5</c:f>
              <c:strCache>
                <c:ptCount val="1"/>
                <c:pt idx="0">
                  <c:v>LJ 9 (µg/L)</c:v>
                </c:pt>
              </c:strCache>
            </c:strRef>
          </c:tx>
          <c:spPr>
            <a:ln cap="rnd" w="19050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'2020'!$B$6:$B$11</c:f>
              <c:numCache>
                <c:formatCode>m/d/yy</c:formatCode>
                <c:ptCount val="6"/>
                <c:pt idx="0">
                  <c:v>43974</c:v>
                </c:pt>
                <c:pt idx="1">
                  <c:v>44009</c:v>
                </c:pt>
                <c:pt idx="2">
                  <c:v>44037</c:v>
                </c:pt>
                <c:pt idx="3">
                  <c:v>44065</c:v>
                </c:pt>
                <c:pt idx="4">
                  <c:v>44100</c:v>
                </c:pt>
                <c:pt idx="5">
                  <c:v>44128</c:v>
                </c:pt>
              </c:numCache>
            </c:numRef>
          </c:xVal>
          <c:yVal>
            <c:numRef>
              <c:f>'2020'!$F$6:$F$11</c:f>
              <c:numCache>
                <c:formatCode>General</c:formatCode>
                <c:ptCount val="6"/>
                <c:pt idx="0">
                  <c:v>3.3</c:v>
                </c:pt>
                <c:pt idx="1">
                  <c:v>1.5</c:v>
                </c:pt>
                <c:pt idx="2">
                  <c:v>2.2999999999999998</c:v>
                </c:pt>
                <c:pt idx="3">
                  <c:v>7.6</c:v>
                </c:pt>
                <c:pt idx="4">
                  <c:v>4.4000000000000004</c:v>
                </c:pt>
                <c:pt idx="5">
                  <c:v>4.8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B4D-1547-87D5-579AC0D3C33D}"/>
            </c:ext>
          </c:extLst>
        </c:ser>
        <c:ser>
          <c:idx val="4"/>
          <c:order val="4"/>
          <c:tx>
            <c:strRef>
              <c:f>'2020'!$G$5</c:f>
              <c:strCache>
                <c:ptCount val="1"/>
                <c:pt idx="0">
                  <c:v>LJ 11 (µg/L)</c:v>
                </c:pt>
              </c:strCache>
            </c:strRef>
          </c:tx>
          <c:spPr>
            <a:ln cap="rnd" w="19050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'2020'!$B$6:$B$11</c:f>
              <c:numCache>
                <c:formatCode>m/d/yy</c:formatCode>
                <c:ptCount val="6"/>
                <c:pt idx="0">
                  <c:v>43974</c:v>
                </c:pt>
                <c:pt idx="1">
                  <c:v>44009</c:v>
                </c:pt>
                <c:pt idx="2">
                  <c:v>44037</c:v>
                </c:pt>
                <c:pt idx="3">
                  <c:v>44065</c:v>
                </c:pt>
                <c:pt idx="4">
                  <c:v>44100</c:v>
                </c:pt>
                <c:pt idx="5">
                  <c:v>44128</c:v>
                </c:pt>
              </c:numCache>
            </c:numRef>
          </c:xVal>
          <c:yVal>
            <c:numRef>
              <c:f>'2020'!$G$6:$G$11</c:f>
              <c:numCache>
                <c:formatCode>General</c:formatCode>
                <c:ptCount val="6"/>
                <c:pt idx="0">
                  <c:v>3.5</c:v>
                </c:pt>
                <c:pt idx="1">
                  <c:v>1.9</c:v>
                </c:pt>
                <c:pt idx="2">
                  <c:v>2.2999999999999998</c:v>
                </c:pt>
                <c:pt idx="3">
                  <c:v>10.9</c:v>
                </c:pt>
                <c:pt idx="4">
                  <c:v>4.2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B4D-1547-87D5-579AC0D3C3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266016"/>
        <c:axId val="496271312"/>
      </c:scatterChart>
      <c:valAx>
        <c:axId val="496266016"/>
        <c:scaling>
          <c:max val="44135.000000"/>
          <c:min val="43952.00000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71312"/>
        <c:crosses val="autoZero"/>
        <c:crossBetween val="midCat"/>
      </c:valAx>
      <c:valAx>
        <c:axId val="496271312"/>
        <c:scaling>
          <c:max val="20.00000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Chlorophyll a (µg/L)</a:t>
                </a:r>
              </a:p>
            </c:rich>
          </c:tx>
          <c:layout>
            <c:manualLayout>
              <c:xMode val="edge"/>
              <c:yMode val="edge"/>
              <c:x val="0"/>
              <c:y val="0.3473420495264588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66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4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Mean W/o Site 6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cap="rnd" w="19050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2.6702318460192477E-2"/>
                  <c:y val="0.30156678331875181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0.1771x - 354.45</a:t>
                    </a:r>
                    <a:br>
                      <a:rPr lang="en-US" baseline="0"/>
                    </a:br>
                    <a:r>
                      <a:rPr lang="en-US" baseline="0"/>
                      <a:t>R² = 0.1206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p = 0.50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'Trend 18-23'!$B$14:$B$19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xVal>
          <c:yVal>
            <c:numRef>
              <c:f>'Trend 18-23'!$C$14:$C$19</c:f>
              <c:numCache>
                <c:formatCode>0.0</c:formatCode>
                <c:ptCount val="6"/>
                <c:pt idx="0">
                  <c:v>2</c:v>
                </c:pt>
                <c:pt idx="1">
                  <c:v>3.4</c:v>
                </c:pt>
                <c:pt idx="2">
                  <c:v>5</c:v>
                </c:pt>
                <c:pt idx="3">
                  <c:v>3.5</c:v>
                </c:pt>
                <c:pt idx="4">
                  <c:v>3.3</c:v>
                </c:pt>
                <c:pt idx="5">
                  <c:v>3.6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28E-7D4E-9380-716EDC288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7625695"/>
        <c:axId val="360849120"/>
      </c:scatterChart>
      <c:valAx>
        <c:axId val="18776256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0849120"/>
        <c:crosses val="autoZero"/>
        <c:crossBetween val="midCat"/>
      </c:valAx>
      <c:valAx>
        <c:axId val="36084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 Chl a (µg/l) 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76256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Yearly Mean</a:t>
            </a:r>
            <a:r>
              <a:rPr lang="en-US" baseline="0"/>
              <a:t> of all sites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cap="rnd" w="19050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7742125984251969E-2"/>
                  <c:y val="0.31415135608048994"/>
                </c:manualLayout>
              </c:layout>
              <c:tx>
                <c:rich>
                  <a:bodyPr rot="0" spcFirstLastPara="1" vertOverflow="ellipsis" vert="horz" wrap="square" anchor="ctr" anchorCtr="1"/>
                  <a:lstStyle/>
                  <a:p>
                    <a:pPr>
                      <a:defRPr sz="900" b="0" i="0" u="none" strike="noStrike" kern="1200" baseline="0">
                        <a:solidFill>
                          <a:schemeClr val="tx1">
                            <a:lumMod val="65000"/>
                            <a:lumOff val="3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y = 0.2514x - 503.78</a:t>
                    </a:r>
                    <a:br>
                      <a:rPr lang="en-US" baseline="0"/>
                    </a:br>
                    <a:r>
                      <a:rPr lang="en-US" baseline="0"/>
                      <a:t>R² = 0.5285</a:t>
                    </a:r>
                  </a:p>
                  <a:p>
                    <a:pPr>
                      <a:defRPr/>
                    </a:pPr>
                    <a:r>
                      <a:rPr lang="en-US" baseline="0"/>
                      <a:t>p = 0.10</a:t>
                    </a:r>
                    <a:endParaRPr lang="en-US"/>
                  </a:p>
                </c:rich>
              </c:tx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'Trend 18-23'!$B$5:$B$10</c:f>
              <c:numCache>
                <c:formatCode>General</c:formatCode>
                <c:ptCount val="6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</c:numCache>
            </c:numRef>
          </c:xVal>
          <c:yVal>
            <c:numRef>
              <c:f>'Trend 18-23'!$C$5:$C$10</c:f>
              <c:numCache>
                <c:formatCode>0.0</c:formatCode>
                <c:ptCount val="6"/>
                <c:pt idx="0">
                  <c:v>3</c:v>
                </c:pt>
                <c:pt idx="1">
                  <c:v>4.4000000000000004</c:v>
                </c:pt>
                <c:pt idx="2">
                  <c:v>4.5999999999999996</c:v>
                </c:pt>
                <c:pt idx="3">
                  <c:v>4.0999999999999996</c:v>
                </c:pt>
                <c:pt idx="4">
                  <c:v>4.5</c:v>
                </c:pt>
                <c:pt idx="5">
                  <c:v>4.8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4A-D94E-AA80-300EA59EF9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465264"/>
        <c:axId val="361551088"/>
      </c:scatterChart>
      <c:valAx>
        <c:axId val="653465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1551088"/>
        <c:crosses val="autoZero"/>
        <c:crossBetween val="midCat"/>
      </c:valAx>
      <c:valAx>
        <c:axId val="361551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Mean</a:t>
                </a:r>
                <a:r>
                  <a:rPr lang="en-US" baseline="0"/>
                  <a:t> Chl a (µg/L) 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34652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Without</a:t>
            </a:r>
            <a:r>
              <a:rPr lang="en-US" baseline="0"/>
              <a:t> LJ 6 2018-2025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'Trend 2018-2025'!$C$15</c:f>
              <c:strCache>
                <c:ptCount val="1"/>
                <c:pt idx="0">
                  <c:v>w/o LJ 6</c:v>
                </c:pt>
              </c:strCache>
            </c:strRef>
          </c:tx>
          <c:spPr>
            <a:ln cap="rnd" w="25400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7072178477690287E-2"/>
                  <c:y val="0.2506813210848644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'Trend 2018-2025'!$B$16:$B$23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xVal>
          <c:yVal>
            <c:numRef>
              <c:f>'Trend 2018-2025'!$C$16:$C$23</c:f>
              <c:numCache>
                <c:formatCode>0.0</c:formatCode>
                <c:ptCount val="8"/>
                <c:pt idx="0">
                  <c:v>2</c:v>
                </c:pt>
                <c:pt idx="1">
                  <c:v>3.4</c:v>
                </c:pt>
                <c:pt idx="2">
                  <c:v>5</c:v>
                </c:pt>
                <c:pt idx="3">
                  <c:v>3.5</c:v>
                </c:pt>
                <c:pt idx="4">
                  <c:v>3.3</c:v>
                </c:pt>
                <c:pt idx="5">
                  <c:v>3.6</c:v>
                </c:pt>
                <c:pt idx="6">
                  <c:v>2.4500000000000002</c:v>
                </c:pt>
                <c:pt idx="7">
                  <c:v>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FE-9246-997E-F966B9C1E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548992"/>
        <c:axId val="786690384"/>
      </c:scatterChart>
      <c:valAx>
        <c:axId val="786548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690384"/>
        <c:crosses val="autoZero"/>
        <c:crossBetween val="midCat"/>
      </c:valAx>
      <c:valAx>
        <c:axId val="786690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Mean Chl a (µg/L)</a:t>
                </a:r>
                <a:endParaRPr lang="en-US" sz="1000"/>
              </a:p>
            </c:rich>
          </c:tx>
          <c:layout>
            <c:manualLayout>
              <c:xMode val="edge"/>
              <c:yMode val="edge"/>
              <c:x val="1.9444444444444445E-2"/>
              <c:y val="0.310964566929133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548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 Lake Sites 2018-2025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'Trend 2018-2025'!$C$4</c:f>
              <c:strCache>
                <c:ptCount val="1"/>
                <c:pt idx="0">
                  <c:v>Whole lake</c:v>
                </c:pt>
              </c:strCache>
            </c:strRef>
          </c:tx>
          <c:spPr>
            <a:ln cap="rnd" w="19050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6189851268591421E-3"/>
                  <c:y val="0.293443059200933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'Trend 2018-2025'!$B$5:$B$12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xVal>
          <c:yVal>
            <c:numRef>
              <c:f>'Trend 2018-2025'!$C$5:$C$12</c:f>
              <c:numCache>
                <c:formatCode>0.0</c:formatCode>
                <c:ptCount val="8"/>
                <c:pt idx="0">
                  <c:v>3</c:v>
                </c:pt>
                <c:pt idx="1">
                  <c:v>4.4000000000000004</c:v>
                </c:pt>
                <c:pt idx="2">
                  <c:v>4.5999999999999996</c:v>
                </c:pt>
                <c:pt idx="3">
                  <c:v>4.0999999999999996</c:v>
                </c:pt>
                <c:pt idx="4">
                  <c:v>4.5</c:v>
                </c:pt>
                <c:pt idx="5">
                  <c:v>4.8</c:v>
                </c:pt>
                <c:pt idx="6">
                  <c:v>4.5</c:v>
                </c:pt>
                <c:pt idx="7">
                  <c:v>4.0599999999999996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3C-1740-897C-E1BAFDC30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6206096"/>
        <c:axId val="1486208368"/>
      </c:scatterChart>
      <c:valAx>
        <c:axId val="14862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08368"/>
        <c:crosses val="autoZero"/>
        <c:crossBetween val="midCat"/>
      </c:valAx>
      <c:valAx>
        <c:axId val="1486208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Mean Chl a (µg/L</a:t>
                </a:r>
                <a:r>
                  <a:rPr lang="en-US" sz="1000" baseline="0"/>
                  <a:t>)</a:t>
                </a:r>
                <a:endParaRPr lang="en-US" sz="1000"/>
              </a:p>
            </c:rich>
          </c:tx>
          <c:layout>
            <c:manualLayout>
              <c:xMode val="edge"/>
              <c:yMode val="edge"/>
              <c:x val="2.2222222222222223E-2"/>
              <c:y val="0.310964566929133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206096"/>
        <c:crosses val="autoZero"/>
        <c:crossBetween val="midCat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All</a:t>
            </a:r>
            <a:r>
              <a:rPr lang="en-US" baseline="0"/>
              <a:t> Lake Sites 2021-2025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cap="rnd" w="19050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019444444444444"/>
                  <c:y val="0.2418934091571886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'Trend 2018-2025'!$B$8:$B$12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xVal>
          <c:yVal>
            <c:numRef>
              <c:f>'Trend 2018-2025'!$C$8:$C$12</c:f>
              <c:numCache>
                <c:formatCode>0.0</c:formatCode>
                <c:ptCount val="5"/>
                <c:pt idx="0">
                  <c:v>4.0999999999999996</c:v>
                </c:pt>
                <c:pt idx="1">
                  <c:v>4.5</c:v>
                </c:pt>
                <c:pt idx="2">
                  <c:v>4.8</c:v>
                </c:pt>
                <c:pt idx="3">
                  <c:v>4.5</c:v>
                </c:pt>
                <c:pt idx="4">
                  <c:v>4.0599999999999996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D9-1A46-A168-938E1766F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6787184"/>
        <c:axId val="786788912"/>
      </c:scatterChart>
      <c:valAx>
        <c:axId val="786787184"/>
        <c:scaling>
          <c:max val="2025.000000"/>
          <c:min val="2021.00000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788912"/>
        <c:crosses val="autoZero"/>
        <c:crossBetween val="midCat"/>
        <c:majorUnit val="1"/>
      </c:valAx>
      <c:valAx>
        <c:axId val="786788912"/>
        <c:scaling>
          <c:min val="0.00000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Mean Chl a (µg/L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1.6666666666666666E-2"/>
              <c:y val="0.3670640128317293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6787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Without LJ 6 2021-2025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cap="rnd" w="19050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9019444444444444"/>
                  <c:y val="0.179927456984543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'Trend 2018-2025'!$B$19:$B$23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xVal>
          <c:yVal>
            <c:numRef>
              <c:f>'Trend 2018-2025'!$C$19:$C$23</c:f>
              <c:numCache>
                <c:formatCode>0.0</c:formatCode>
                <c:ptCount val="5"/>
                <c:pt idx="0">
                  <c:v>3.5</c:v>
                </c:pt>
                <c:pt idx="1">
                  <c:v>3.3</c:v>
                </c:pt>
                <c:pt idx="2">
                  <c:v>3.6</c:v>
                </c:pt>
                <c:pt idx="3">
                  <c:v>2.4500000000000002</c:v>
                </c:pt>
                <c:pt idx="4">
                  <c:v>3.29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F2-6E4A-B9CE-062E39CA9B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7000032"/>
        <c:axId val="787001760"/>
      </c:scatterChart>
      <c:valAx>
        <c:axId val="787000032"/>
        <c:scaling>
          <c:max val="2025.000000"/>
          <c:min val="2021.00000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001760"/>
        <c:crosses val="autoZero"/>
        <c:crossBetween val="midCat"/>
        <c:majorUnit val="1"/>
      </c:valAx>
      <c:valAx>
        <c:axId val="787001760"/>
        <c:scaling>
          <c:max val="6.00000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Mean Chl a (µg/L)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7777777777777776E-2"/>
              <c:y val="0.3063349372995042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000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2021</a:t>
            </a:r>
            <a:r>
              <a:rPr lang="en-US" baseline="0"/>
              <a:t> Chlorophyll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'2021'!$C$5</c:f>
              <c:strCache>
                <c:ptCount val="1"/>
                <c:pt idx="0">
                  <c:v>LJ 6 (µg/L)</c:v>
                </c:pt>
              </c:strCache>
            </c:strRef>
          </c:tx>
          <c:spPr>
            <a:ln cap="rnd" w="19050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'2021'!$B$6:$B$11</c:f>
              <c:numCache>
                <c:formatCode>m/d/yy</c:formatCode>
                <c:ptCount val="6"/>
                <c:pt idx="0">
                  <c:v>44338</c:v>
                </c:pt>
                <c:pt idx="1">
                  <c:v>44373</c:v>
                </c:pt>
                <c:pt idx="2">
                  <c:v>44401</c:v>
                </c:pt>
                <c:pt idx="3">
                  <c:v>44436</c:v>
                </c:pt>
                <c:pt idx="4">
                  <c:v>44464</c:v>
                </c:pt>
                <c:pt idx="5">
                  <c:v>44492</c:v>
                </c:pt>
              </c:numCache>
            </c:numRef>
          </c:xVal>
          <c:yVal>
            <c:numRef>
              <c:f>'2021'!$C$6:$C$11</c:f>
              <c:numCache>
                <c:formatCode>0.0</c:formatCode>
                <c:ptCount val="6"/>
                <c:pt idx="0">
                  <c:v>3.8</c:v>
                </c:pt>
                <c:pt idx="1">
                  <c:v>4.3</c:v>
                </c:pt>
                <c:pt idx="2">
                  <c:v>5.2</c:v>
                </c:pt>
                <c:pt idx="3">
                  <c:v>15.8</c:v>
                </c:pt>
                <c:pt idx="4">
                  <c:v>7.6</c:v>
                </c:pt>
                <c:pt idx="5">
                  <c:v>2.8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7A-7E46-9C77-ED794F780ACD}"/>
            </c:ext>
          </c:extLst>
        </c:ser>
        <c:ser>
          <c:idx val="1"/>
          <c:order val="1"/>
          <c:tx>
            <c:strRef>
              <c:f>'2021'!$D$5</c:f>
              <c:strCache>
                <c:ptCount val="1"/>
                <c:pt idx="0">
                  <c:v>LJ 7 (µg/L)</c:v>
                </c:pt>
              </c:strCache>
            </c:strRef>
          </c:tx>
          <c:spPr>
            <a:ln cap="rnd" w="19050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'2021'!$B$6:$B$11</c:f>
              <c:numCache>
                <c:formatCode>m/d/yy</c:formatCode>
                <c:ptCount val="6"/>
                <c:pt idx="0">
                  <c:v>44338</c:v>
                </c:pt>
                <c:pt idx="1">
                  <c:v>44373</c:v>
                </c:pt>
                <c:pt idx="2">
                  <c:v>44401</c:v>
                </c:pt>
                <c:pt idx="3">
                  <c:v>44436</c:v>
                </c:pt>
                <c:pt idx="4">
                  <c:v>44464</c:v>
                </c:pt>
                <c:pt idx="5">
                  <c:v>44492</c:v>
                </c:pt>
              </c:numCache>
            </c:numRef>
          </c:xVal>
          <c:yVal>
            <c:numRef>
              <c:f>'2021'!$D$6:$D$11</c:f>
              <c:numCache>
                <c:formatCode>0.0</c:formatCode>
                <c:ptCount val="6"/>
                <c:pt idx="0">
                  <c:v>4</c:v>
                </c:pt>
                <c:pt idx="1">
                  <c:v>2</c:v>
                </c:pt>
                <c:pt idx="2">
                  <c:v>2.5</c:v>
                </c:pt>
                <c:pt idx="3">
                  <c:v>5</c:v>
                </c:pt>
                <c:pt idx="4">
                  <c:v>7.4</c:v>
                </c:pt>
                <c:pt idx="5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17A-7E46-9C77-ED794F780ACD}"/>
            </c:ext>
          </c:extLst>
        </c:ser>
        <c:ser>
          <c:idx val="2"/>
          <c:order val="2"/>
          <c:tx>
            <c:strRef>
              <c:f>'2021'!$E$5</c:f>
              <c:strCache>
                <c:ptCount val="1"/>
                <c:pt idx="0">
                  <c:v>LJ 8 (µg/L)</c:v>
                </c:pt>
              </c:strCache>
            </c:strRef>
          </c:tx>
          <c:spPr>
            <a:ln cap="rnd" w="19050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'2021'!$B$6:$B$11</c:f>
              <c:numCache>
                <c:formatCode>m/d/yy</c:formatCode>
                <c:ptCount val="6"/>
                <c:pt idx="0">
                  <c:v>44338</c:v>
                </c:pt>
                <c:pt idx="1">
                  <c:v>44373</c:v>
                </c:pt>
                <c:pt idx="2">
                  <c:v>44401</c:v>
                </c:pt>
                <c:pt idx="3">
                  <c:v>44436</c:v>
                </c:pt>
                <c:pt idx="4">
                  <c:v>44464</c:v>
                </c:pt>
                <c:pt idx="5">
                  <c:v>44492</c:v>
                </c:pt>
              </c:numCache>
            </c:numRef>
          </c:xVal>
          <c:yVal>
            <c:numRef>
              <c:f>'2021'!$E$6:$E$11</c:f>
              <c:numCache>
                <c:formatCode>0.0</c:formatCode>
                <c:ptCount val="6"/>
                <c:pt idx="0">
                  <c:v>2.6</c:v>
                </c:pt>
                <c:pt idx="1">
                  <c:v>1.4</c:v>
                </c:pt>
                <c:pt idx="2">
                  <c:v>1.5</c:v>
                </c:pt>
                <c:pt idx="3">
                  <c:v>3.1</c:v>
                </c:pt>
                <c:pt idx="4">
                  <c:v>7.1</c:v>
                </c:pt>
                <c:pt idx="5">
                  <c:v>5.0999999999999996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17A-7E46-9C77-ED794F780ACD}"/>
            </c:ext>
          </c:extLst>
        </c:ser>
        <c:ser>
          <c:idx val="3"/>
          <c:order val="3"/>
          <c:tx>
            <c:strRef>
              <c:f>'2021'!$F$5</c:f>
              <c:strCache>
                <c:ptCount val="1"/>
                <c:pt idx="0">
                  <c:v>LJ 9 (µg/L)</c:v>
                </c:pt>
              </c:strCache>
            </c:strRef>
          </c:tx>
          <c:spPr>
            <a:ln cap="rnd" w="19050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'2021'!$B$6:$B$11</c:f>
              <c:numCache>
                <c:formatCode>m/d/yy</c:formatCode>
                <c:ptCount val="6"/>
                <c:pt idx="0">
                  <c:v>44338</c:v>
                </c:pt>
                <c:pt idx="1">
                  <c:v>44373</c:v>
                </c:pt>
                <c:pt idx="2">
                  <c:v>44401</c:v>
                </c:pt>
                <c:pt idx="3">
                  <c:v>44436</c:v>
                </c:pt>
                <c:pt idx="4">
                  <c:v>44464</c:v>
                </c:pt>
                <c:pt idx="5">
                  <c:v>44492</c:v>
                </c:pt>
              </c:numCache>
            </c:numRef>
          </c:xVal>
          <c:yVal>
            <c:numRef>
              <c:f>'2021'!$F$6:$F$11</c:f>
              <c:numCache>
                <c:formatCode>0.0</c:formatCode>
                <c:ptCount val="6"/>
                <c:pt idx="0">
                  <c:v>2.6</c:v>
                </c:pt>
                <c:pt idx="1">
                  <c:v>1.2</c:v>
                </c:pt>
                <c:pt idx="2">
                  <c:v>1.6</c:v>
                </c:pt>
                <c:pt idx="3">
                  <c:v>2.2000000000000002</c:v>
                </c:pt>
                <c:pt idx="4">
                  <c:v>5.0999999999999996</c:v>
                </c:pt>
                <c:pt idx="5">
                  <c:v>4.5999999999999996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417A-7E46-9C77-ED794F780ACD}"/>
            </c:ext>
          </c:extLst>
        </c:ser>
        <c:ser>
          <c:idx val="4"/>
          <c:order val="4"/>
          <c:tx>
            <c:strRef>
              <c:f>'2021'!$G$5</c:f>
              <c:strCache>
                <c:ptCount val="1"/>
                <c:pt idx="0">
                  <c:v>LJ 11 (µg/L)</c:v>
                </c:pt>
              </c:strCache>
            </c:strRef>
          </c:tx>
          <c:spPr>
            <a:ln cap="rnd" w="19050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'2021'!$B$6:$B$11</c:f>
              <c:numCache>
                <c:formatCode>m/d/yy</c:formatCode>
                <c:ptCount val="6"/>
                <c:pt idx="0">
                  <c:v>44338</c:v>
                </c:pt>
                <c:pt idx="1">
                  <c:v>44373</c:v>
                </c:pt>
                <c:pt idx="2">
                  <c:v>44401</c:v>
                </c:pt>
                <c:pt idx="3">
                  <c:v>44436</c:v>
                </c:pt>
                <c:pt idx="4">
                  <c:v>44464</c:v>
                </c:pt>
                <c:pt idx="5">
                  <c:v>44492</c:v>
                </c:pt>
              </c:numCache>
            </c:numRef>
          </c:xVal>
          <c:yVal>
            <c:numRef>
              <c:f>'2021'!$G$6:$G$11</c:f>
              <c:numCache>
                <c:formatCode>0.0</c:formatCode>
                <c:ptCount val="6"/>
                <c:pt idx="0">
                  <c:v>2.5</c:v>
                </c:pt>
                <c:pt idx="1">
                  <c:v>1.5</c:v>
                </c:pt>
                <c:pt idx="2">
                  <c:v>2</c:v>
                </c:pt>
                <c:pt idx="3">
                  <c:v>2.7</c:v>
                </c:pt>
                <c:pt idx="4">
                  <c:v>6.4</c:v>
                </c:pt>
                <c:pt idx="5">
                  <c:v>5.4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417A-7E46-9C77-ED794F780A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6182368"/>
        <c:axId val="496207376"/>
      </c:scatterChart>
      <c:valAx>
        <c:axId val="496182368"/>
        <c:scaling>
          <c:max val="44500.000000"/>
          <c:min val="44317.000000"/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207376"/>
        <c:crosses val="autoZero"/>
        <c:crossBetween val="midCat"/>
      </c:valAx>
      <c:valAx>
        <c:axId val="496207376"/>
        <c:scaling>
          <c:max val="20.00000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Chlorophyll</a:t>
                </a:r>
                <a:r>
                  <a:rPr lang="en-US" sz="1600" baseline="0"/>
                  <a:t> a (µg/L)</a:t>
                </a:r>
                <a:endParaRPr lang="en-US" sz="1600"/>
              </a:p>
            </c:rich>
          </c:tx>
          <c:layout>
            <c:manualLayout>
              <c:xMode val="edge"/>
              <c:yMode val="edge"/>
              <c:x val="8.7765955608855011E-3"/>
              <c:y val="0.353397095135573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1823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hart11.xml><?xml version="1.0" encoding="utf-8"?>
<c:chartSpace xmlns:a="http://schemas.openxmlformats.org/drawingml/2006/main" xmlns:c="http://schemas.openxmlformats.org/drawingml/2006/chart" xmlns:c16r2="http://schemas.microsoft.com/office/drawing/2015/06/chart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Whole Lake Mean May-Oct. Chlorophyll a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Mean May-Oct. Chloro</c:v>
                </c:pt>
              </c:strCache>
            </c:strRef>
          </c:tx>
          <c:spPr>
            <a:ln cap="rnd" w="19050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dk1">
                  <a:tint val="88500"/>
                </a:schemeClr>
              </a:solidFill>
              <a:ln w="9525">
                <a:solidFill>
                  <a:schemeClr val="dk1">
                    <a:tint val="88500"/>
                  </a:schemeClr>
                </a:solidFill>
              </a:ln>
              <a:effectLst/>
            </c:spPr>
          </c:marker>
          <c:xVal>
            <c:numRef>
              <c:f>Sheet1!$C$5:$C$8</c:f>
              <c:numCache>
                <c:formatCode>General</c:formatCode>
                <c:ptCount val="4"/>
                <c:pt idx="0">
                  <c:v>18</c:v>
                </c:pt>
                <c:pt idx="1">
                  <c:v>19</c:v>
                </c:pt>
                <c:pt idx="2">
                  <c:v>20</c:v>
                </c:pt>
                <c:pt idx="3">
                  <c:v>21</c:v>
                </c:pt>
              </c:numCache>
            </c:numRef>
          </c:xVal>
          <c:yVal>
            <c:numRef>
              <c:f>Sheet1!$D$5:$D$8</c:f>
              <c:numCache>
                <c:formatCode>General</c:formatCode>
                <c:ptCount val="4"/>
                <c:pt idx="0">
                  <c:v>3</c:v>
                </c:pt>
                <c:pt idx="1">
                  <c:v>4.4000000000000004</c:v>
                </c:pt>
                <c:pt idx="2">
                  <c:v>4.5999999999999996</c:v>
                </c:pt>
                <c:pt idx="3">
                  <c:v>4.0999999999999996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A2-B547-85EF-19CACAFFA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3958143"/>
        <c:axId val="1395648496"/>
      </c:scatterChart>
      <c:valAx>
        <c:axId val="1103958143"/>
        <c:scaling>
          <c:max val="21.000000"/>
          <c:min val="18.000000"/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5648496"/>
        <c:crosses val="autoZero"/>
        <c:crossBetween val="midCat"/>
        <c:majorUnit val="1"/>
      </c:valAx>
      <c:valAx>
        <c:axId val="1395648496"/>
        <c:scaling>
          <c:max val="20.00000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Chlorophyll</a:t>
                </a:r>
                <a:r>
                  <a:rPr lang="en-US" sz="1600" baseline="0"/>
                  <a:t> a (µg/L)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3958143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TargetMode="Internal"/></Relationships>
</file>

<file path=xl/chart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 TargetMode="Internal"/></Relationships>
</file>

<file path=xl/chart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 TargetMode="Internal"/></Relationships>
</file>

<file path=xl/chart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 TargetMode="Internal"/></Relationships>
</file>

<file path=xl/chart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 TargetMode="Internal"/></Relationships>
</file>

<file path=xl/chartsheets/sheet1.xml><?xml version="1.0" encoding="utf-8"?>
<chart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3="http://schemas.microsoft.com/office/spreadsheetml/2016/revision3" mc:Ignorable="xr xr3 x14ac" xr:uid="{E7191651-77AE-CF4F-ADD8-8F94B7A45B8E}">
  <sheetPr/>
  <sheetViews>
    <sheetView zoomScale="92" workbookViewId="0" zoomToFit="1">
      <selection pane="topLeft" activeCell="A1"/>
    </sheetView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3="http://schemas.microsoft.com/office/spreadsheetml/2016/revision3" mc:Ignorable="xr xr3 x14ac" xr:uid="{ADBB4DAB-5BB5-FB46-B932-F725EEC2BD1B}">
  <sheetPr/>
  <sheetViews>
    <sheetView zoomScale="59" workbookViewId="0" zoomToFit="1">
      <selection pane="topLeft" activeCell="A1"/>
    </sheetView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3="http://schemas.microsoft.com/office/spreadsheetml/2016/revision3" mc:Ignorable="xr xr3 x14ac" xr:uid="{7923CB95-9DCE-1448-8C5F-611B601928D6}">
  <sheetPr/>
  <sheetViews>
    <sheetView zoomScale="110" workbookViewId="0" zoomToFit="1">
      <selection pane="topLeft" activeCell="A1"/>
    </sheetView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3="http://schemas.microsoft.com/office/spreadsheetml/2016/revision3" mc:Ignorable="xr xr3 x14ac" xr:uid="{3C9BA97E-0E2E-A049-9E76-1577B9B811D8}">
  <sheetPr/>
  <sheetViews>
    <sheetView zoomScale="110" workbookViewId="0" zoomToFit="1">
      <selection pane="topLeft" activeCell="A1"/>
    </sheetView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3="http://schemas.microsoft.com/office/spreadsheetml/2016/revision3" mc:Ignorable="xr xr3 x14ac" xr:uid="{1E176E63-15D8-0D45-A108-4882523BE7FD}">
  <sheetPr/>
  <sheetViews>
    <sheetView zoomScale="92" workbookViewId="0" zoomToFit="1">
      <selection pane="topLeft" activeCell="A1"/>
    </sheetView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4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1505" cy="62817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DB5494-830E-5D46-B777-78F7A132AC0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96271" cy="630694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ADC6CF-43A9-6F44-A2C2-C53ED3156A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82182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B6E45D-CA5E-844B-A421-4D14776466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596900</xdr:colOff>
      <xdr:row>14</xdr:row>
      <xdr:rowOff>165100</xdr:rowOff>
    </xdr:from>
    <xdr:to>
      <xdr:col>11</xdr:col>
      <xdr:colOff>215900</xdr:colOff>
      <xdr:row>28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C4665DD-197A-6352-5B2D-7F6C72413A4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419100</xdr:colOff>
      <xdr:row>0</xdr:row>
      <xdr:rowOff>0</xdr:rowOff>
    </xdr:from>
    <xdr:to>
      <xdr:col>11</xdr:col>
      <xdr:colOff>38100</xdr:colOff>
      <xdr:row>13</xdr:row>
      <xdr:rowOff>101600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683431E-317E-CC29-C6A7-A4D4B857FB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14</xdr:row>
      <xdr:rowOff>69850</xdr:rowOff>
    </xdr:from>
    <xdr:to>
      <xdr:col>9</xdr:col>
      <xdr:colOff>749300</xdr:colOff>
      <xdr:row>27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F9E6D9-3838-089B-4CED-7CD9E96533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279400</xdr:colOff>
      <xdr:row>0</xdr:row>
      <xdr:rowOff>190500</xdr:rowOff>
    </xdr:from>
    <xdr:to>
      <xdr:col>9</xdr:col>
      <xdr:colOff>723900</xdr:colOff>
      <xdr:row>14</xdr:row>
      <xdr:rowOff>88900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D09B2E8-1C50-67F0-389D-260F883DDF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609600</xdr:colOff>
      <xdr:row>0</xdr:row>
      <xdr:rowOff>171450</xdr:rowOff>
    </xdr:from>
    <xdr:to>
      <xdr:col>16</xdr:col>
      <xdr:colOff>228600</xdr:colOff>
      <xdr:row>14</xdr:row>
      <xdr:rowOff>69850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F63C9E-CD78-A3B0-9E42-49CF3532AB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596900</xdr:colOff>
      <xdr:row>14</xdr:row>
      <xdr:rowOff>120650</xdr:rowOff>
    </xdr:from>
    <xdr:to>
      <xdr:col>16</xdr:col>
      <xdr:colOff>215900</xdr:colOff>
      <xdr:row>28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BF50160-7BBD-4E72-677C-06AAC87A23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82182" cy="629227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0C7415-2B06-B74B-A9BF-96918EBCEA1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5104" cy="6283854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09582F-247D-7E4A-86D9-AAC7487E99C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0.07447</cdr:x>
      <cdr:y>0.08991</cdr:y>
    </cdr:from>
    <cdr:to>
      <cdr:x>0.97473</cdr:x>
      <cdr:y>0.08991</cdr:y>
    </cdr:to>
    <cdr:cxnSp macro="">
      <cdr:nvCxnSpPr>
        <cdr:cNvPr id="13" name="Straight Connector 12">
          <a:extLst xmlns:a="http://schemas.openxmlformats.org/drawingml/2006/main">
            <a:ext uri="{FF2B5EF4-FFF2-40B4-BE49-F238E27FC236}">
              <a16:creationId xmlns:a16="http://schemas.microsoft.com/office/drawing/2014/main" id="{315DFB58-CD6A-4349-BF15-8CDF52A35E85}"/>
            </a:ext>
          </a:extLst>
        </cdr:cNvPr>
        <cdr:cNvCxnSpPr/>
      </cdr:nvCxnSpPr>
      <cdr:spPr>
        <a:xfrm xmlns:a="http://schemas.openxmlformats.org/drawingml/2006/main" flipH="1">
          <a:off x="646546" y="565728"/>
          <a:ext cx="7816273" cy="0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3">
          <a:schemeClr val="accent6"/>
        </a:lnRef>
        <a:fillRef xmlns:a="http://schemas.openxmlformats.org/drawingml/2006/main" idx="0">
          <a:schemeClr val="accent6"/>
        </a:fillRef>
        <a:effectRef xmlns:a="http://schemas.openxmlformats.org/drawingml/2006/main" idx="2">
          <a:schemeClr val="accent6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0.07447</cdr:x>
      <cdr:y>0.79083</cdr:y>
    </cdr:from>
    <cdr:to>
      <cdr:x>0.97606</cdr:x>
      <cdr:y>0.7945</cdr:y>
    </cdr:to>
    <cdr:cxnSp macro="">
      <cdr:nvCxnSpPr>
        <cdr:cNvPr id="15" name="Straight Connector 14">
          <a:extLst xmlns:a="http://schemas.openxmlformats.org/drawingml/2006/main">
            <a:ext uri="{FF2B5EF4-FFF2-40B4-BE49-F238E27FC236}">
              <a16:creationId xmlns:a16="http://schemas.microsoft.com/office/drawing/2014/main" id="{EA53CA06-FBBB-4947-8066-479667737D2D}"/>
            </a:ext>
          </a:extLst>
        </cdr:cNvPr>
        <cdr:cNvCxnSpPr/>
      </cdr:nvCxnSpPr>
      <cdr:spPr>
        <a:xfrm xmlns:a="http://schemas.openxmlformats.org/drawingml/2006/main" flipV="1">
          <a:off x="646545" y="4976091"/>
          <a:ext cx="7827819" cy="23091"/>
        </a:xfrm>
        <a:prstGeom xmlns:a="http://schemas.openxmlformats.org/drawingml/2006/main" prst="line">
          <a:avLst/>
        </a:prstGeom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  <cdr:relSizeAnchor xmlns:cdr="http://schemas.openxmlformats.org/drawingml/2006/chartDrawing">
    <cdr:from>
      <cdr:x>0.81915</cdr:x>
      <cdr:y>0.78165</cdr:y>
    </cdr:from>
    <cdr:to>
      <cdr:x>0.92447</cdr:x>
      <cdr:y>0.92697</cdr:y>
    </cdr:to>
    <cdr:sp macro="" textlink="">
      <cdr:nvSpPr>
        <cdr:cNvPr id="16" name="TextBox 15">
          <a:extLst xmlns:a="http://schemas.openxmlformats.org/drawingml/2006/main">
            <a:ext uri="{FF2B5EF4-FFF2-40B4-BE49-F238E27FC236}">
              <a16:creationId xmlns:a16="http://schemas.microsoft.com/office/drawing/2014/main" id="{DCE5A6C6-783F-D64F-BBFC-185CC97BF736}"/>
            </a:ext>
          </a:extLst>
        </cdr:cNvPr>
        <cdr:cNvSpPr txBox="1"/>
      </cdr:nvSpPr>
      <cdr:spPr>
        <a:xfrm xmlns:a="http://schemas.openxmlformats.org/drawingml/2006/main">
          <a:off x="7112000" y="4918364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400">
              <a:solidFill>
                <a:schemeClr val="accent5"/>
              </a:solidFill>
            </a:rPr>
            <a:t>Oligotrophic</a:t>
          </a:r>
        </a:p>
      </cdr:txBody>
    </cdr:sp>
  </cdr:relSizeAnchor>
  <cdr:relSizeAnchor xmlns:cdr="http://schemas.openxmlformats.org/drawingml/2006/chartDrawing">
    <cdr:from>
      <cdr:x>0.85213</cdr:x>
      <cdr:y>0.03486</cdr:y>
    </cdr:from>
    <cdr:to>
      <cdr:x>0.95745</cdr:x>
      <cdr:y>0.17651</cdr:y>
    </cdr:to>
    <cdr:sp macro="" textlink="">
      <cdr:nvSpPr>
        <cdr:cNvPr id="17" name="TextBox 16">
          <a:extLst xmlns:a="http://schemas.openxmlformats.org/drawingml/2006/main">
            <a:ext uri="{FF2B5EF4-FFF2-40B4-BE49-F238E27FC236}">
              <a16:creationId xmlns:a16="http://schemas.microsoft.com/office/drawing/2014/main" id="{4D811EB4-4834-4948-988F-BDB6935516C7}"/>
            </a:ext>
          </a:extLst>
        </cdr:cNvPr>
        <cdr:cNvSpPr txBox="1"/>
      </cdr:nvSpPr>
      <cdr:spPr>
        <a:xfrm xmlns:a="http://schemas.openxmlformats.org/drawingml/2006/main">
          <a:off x="7398328" y="219363"/>
          <a:ext cx="914400" cy="89131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en-US" sz="1600">
              <a:solidFill>
                <a:srgbClr val="00B050"/>
              </a:solidFill>
            </a:rPr>
            <a:t>Eutrophic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 TargetMode="In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Views>
    <sheetView workbookViewId="0">
      <selection pane="topLeft" activeCell="B4" sqref="B4:J13"/>
    </sheetView>
  </sheetViews>
  <sheetFormatPr baseColWidth="10" defaultRowHeight="16"/>
  <cols>
    <col min="2" max="7" width="10.83203125" style="1" customWidth="1"/>
  </cols>
  <sheetData>
    <row r="2" spans="2:11" x14ac:dyDescent="0.2">
      <c r="C2" s="1" t="s">
        <v>0</v>
      </c>
    </row>
    <row r="4" spans="2:11" x14ac:dyDescent="0.2">
      <c r="E4" s="1" t="s">
        <v>7</v>
      </c>
    </row>
    <row r="5" spans="2:11" x14ac:dyDescent="0.2">
      <c r="B5" s="1" t="s">
        <v>1</v>
      </c>
      <c r="C5" s="1" t="s">
        <v>6</v>
      </c>
      <c r="D5" s="1" t="s">
        <v>2</v>
      </c>
      <c r="E5" s="1" t="s">
        <v>3</v>
      </c>
      <c r="F5" s="1" t="s">
        <v>4</v>
      </c>
      <c r="G5" s="1" t="s">
        <v>5</v>
      </c>
      <c r="H5" s="1"/>
      <c r="I5" s="1" t="s">
        <v>12</v>
      </c>
      <c r="J5" s="1" t="s">
        <v>22</v>
      </c>
    </row>
    <row r="6" spans="2:11" x14ac:dyDescent="0.2">
      <c r="B6" s="2">
        <v>43246</v>
      </c>
      <c r="C6" s="4">
        <v>1.13</v>
      </c>
      <c r="D6" s="4">
        <v>1.26</v>
      </c>
      <c r="E6" s="4">
        <v>1.15</v>
      </c>
      <c r="F6" s="4">
        <v>2.65</v>
      </c>
      <c r="G6" s="4">
        <v>2.11</v>
      </c>
      <c r="I6" s="7">
        <f>AVERAGE(C6:G6)</f>
        <v>1.66</v>
      </c>
      <c r="J6" s="7">
        <f>AVERAGE(D6:G6)</f>
        <v>1.7925</v>
      </c>
    </row>
    <row r="7" spans="2:11" x14ac:dyDescent="0.2">
      <c r="B7" s="2">
        <v>43274</v>
      </c>
      <c r="C7" s="4">
        <v>5.53</v>
      </c>
      <c r="D7" s="4">
        <v>2.3</v>
      </c>
      <c r="E7" s="4">
        <v>1.17</v>
      </c>
      <c r="F7" s="4">
        <v>3.35</v>
      </c>
      <c r="G7" s="4">
        <v>3.33</v>
      </c>
      <c r="I7" s="7">
        <f>AVERAGE(C7:G7)</f>
        <v>3.136</v>
      </c>
      <c r="J7" s="7">
        <f>AVERAGE(D7:G7)</f>
        <v>2.5375</v>
      </c>
    </row>
    <row r="8" spans="2:11" x14ac:dyDescent="0.2">
      <c r="B8" s="2">
        <v>43309</v>
      </c>
      <c r="C8" s="3">
        <v>12.4</v>
      </c>
      <c r="D8" s="3">
        <v>0.6</v>
      </c>
      <c r="E8" s="3">
        <v>0.9</v>
      </c>
      <c r="F8" s="3">
        <v>1.9</v>
      </c>
      <c r="G8" s="3">
        <v>3</v>
      </c>
      <c r="I8" s="7">
        <f>AVERAGE(C8:G8)</f>
        <v>3.76</v>
      </c>
      <c r="J8" s="7">
        <f>AVERAGE(D8:G8)</f>
        <v>1.6</v>
      </c>
    </row>
    <row r="9" spans="2:11" x14ac:dyDescent="0.2">
      <c r="B9" s="2">
        <v>43337</v>
      </c>
      <c r="C9" s="1">
        <v>16.7</v>
      </c>
      <c r="D9" s="1">
        <v>3.2</v>
      </c>
      <c r="E9" s="1">
        <v>2.1</v>
      </c>
      <c r="F9" s="1">
        <v>3</v>
      </c>
      <c r="G9" s="1">
        <v>2.5</v>
      </c>
      <c r="I9" s="7">
        <f>AVERAGE(C9:G9)</f>
        <v>5.5</v>
      </c>
      <c r="J9" s="7">
        <f>AVERAGE(D9:G9)</f>
        <v>2.7</v>
      </c>
    </row>
    <row r="10" spans="2:11" x14ac:dyDescent="0.2">
      <c r="B10" s="2">
        <v>43365</v>
      </c>
      <c r="C10" s="1">
        <v>5.8</v>
      </c>
      <c r="D10" s="1">
        <v>4.5</v>
      </c>
      <c r="E10" s="1">
        <v>2.4</v>
      </c>
      <c r="F10" s="1">
        <v>1.1</v>
      </c>
      <c r="G10" s="1">
        <v>0.8</v>
      </c>
      <c r="I10" s="7">
        <f>AVERAGE(C10:G10)</f>
        <v>2.92</v>
      </c>
      <c r="J10" s="7">
        <f>AVERAGE(D10:G10)</f>
        <v>2.2</v>
      </c>
    </row>
    <row r="11" spans="2:11" x14ac:dyDescent="0.2">
      <c r="B11" s="2">
        <v>43400</v>
      </c>
      <c r="C11" s="1">
        <v>0.6</v>
      </c>
      <c r="D11" s="1">
        <v>1.4</v>
      </c>
      <c r="E11" s="1">
        <v>1.8</v>
      </c>
      <c r="F11" s="1">
        <v>0.5</v>
      </c>
      <c r="G11" s="1">
        <v>0.8</v>
      </c>
      <c r="I11" s="7">
        <f>AVERAGE(C11:G11)</f>
        <v>1.02</v>
      </c>
      <c r="J11" s="7">
        <f>AVERAGE(D11:G11)</f>
        <v>1.125</v>
      </c>
    </row>
    <row r="13" spans="2:11" x14ac:dyDescent="0.2">
      <c r="B13" s="1" t="s">
        <v>11</v>
      </c>
      <c r="C13" s="4">
        <f>AVERAGE(C6:C11)</f>
        <v>7.02666666666667</v>
      </c>
      <c r="D13" s="4">
        <f>AVERAGE(D6:D11)</f>
        <v>2.21</v>
      </c>
      <c r="E13" s="4">
        <f>AVERAGE(E6:E11)</f>
        <v>1.58666666666667</v>
      </c>
      <c r="F13" s="4">
        <f>AVERAGE(F6:F11)</f>
        <v>2.08333333333333</v>
      </c>
      <c r="G13" s="4">
        <f>AVERAGE(G6:G11)</f>
        <v>2.09</v>
      </c>
      <c r="I13" s="7">
        <f>AVERAGE(C13:G13)</f>
        <v>2.99933333333333</v>
      </c>
      <c r="J13" s="7">
        <f>AVERAGE(D13:H13)</f>
        <v>1.9925</v>
      </c>
      <c r="K13" s="7"/>
    </row>
    <row r="15" spans="2:11" x14ac:dyDescent="0.2">
      <c r="J15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E66BF-F8A0-2644-8419-A1D9B4263635}">
  <sheetViews>
    <sheetView workbookViewId="0">
      <selection pane="topLeft" activeCell="B6" sqref="B6:B11"/>
    </sheetView>
  </sheetViews>
  <sheetFormatPr baseColWidth="10" defaultRowHeight="16"/>
  <sheetData>
    <row r="2" spans="2:10" x14ac:dyDescent="0.2">
      <c r="C2" t="s">
        <v>8</v>
      </c>
    </row>
    <row r="4" spans="2:10" x14ac:dyDescent="0.2">
      <c r="E4" t="s">
        <v>7</v>
      </c>
    </row>
    <row r="5" spans="2:10" x14ac:dyDescent="0.2">
      <c r="B5" t="s">
        <v>1</v>
      </c>
      <c r="C5" t="s">
        <v>6</v>
      </c>
      <c r="D5" t="s">
        <v>2</v>
      </c>
      <c r="E5" t="s">
        <v>3</v>
      </c>
      <c r="F5" t="s">
        <v>4</v>
      </c>
      <c r="G5" t="s">
        <v>5</v>
      </c>
      <c r="I5" s="1" t="s">
        <v>12</v>
      </c>
      <c r="J5" s="1" t="s">
        <v>22</v>
      </c>
    </row>
    <row r="6" spans="2:10" x14ac:dyDescent="0.2">
      <c r="B6" s="5">
        <v>43610</v>
      </c>
      <c r="C6">
        <v>4.2</v>
      </c>
      <c r="D6">
        <v>2.9</v>
      </c>
      <c r="E6">
        <v>1.2</v>
      </c>
      <c r="F6">
        <v>1.6</v>
      </c>
      <c r="G6">
        <v>2.2</v>
      </c>
      <c r="I6" s="7">
        <f>AVERAGE(C6:G6)</f>
        <v>2.42</v>
      </c>
      <c r="J6" s="7">
        <f>AVERAGE(D6:G6)</f>
        <v>1.975</v>
      </c>
    </row>
    <row r="7" spans="2:10" x14ac:dyDescent="0.2">
      <c r="B7" s="5">
        <v>43638</v>
      </c>
      <c r="C7">
        <v>2.6</v>
      </c>
      <c r="D7">
        <v>3.3</v>
      </c>
      <c r="E7">
        <v>2.6</v>
      </c>
      <c r="F7">
        <v>3.5</v>
      </c>
      <c r="G7">
        <v>3.6</v>
      </c>
      <c r="I7" s="7">
        <f>AVERAGE(C7:G7)</f>
        <v>3.12</v>
      </c>
      <c r="J7" s="7">
        <f>AVERAGE(D7:G7)</f>
        <v>3.25</v>
      </c>
    </row>
    <row r="8" spans="2:10" x14ac:dyDescent="0.2">
      <c r="B8" s="5">
        <v>43673</v>
      </c>
      <c r="C8">
        <v>7.6</v>
      </c>
      <c r="D8">
        <v>5.6</v>
      </c>
      <c r="E8">
        <v>2.6</v>
      </c>
      <c r="F8">
        <v>2.7</v>
      </c>
      <c r="G8">
        <v>3.1</v>
      </c>
      <c r="I8" s="7">
        <f>AVERAGE(C8:G8)</f>
        <v>4.32</v>
      </c>
      <c r="J8" s="7">
        <f>AVERAGE(D8:G8)</f>
        <v>3.5</v>
      </c>
    </row>
    <row r="9" spans="2:10" x14ac:dyDescent="0.2">
      <c r="B9" s="5">
        <v>43701</v>
      </c>
      <c r="C9">
        <v>13.5</v>
      </c>
      <c r="D9">
        <v>4.8</v>
      </c>
      <c r="E9">
        <v>2.7</v>
      </c>
      <c r="F9">
        <v>3.5</v>
      </c>
      <c r="G9">
        <v>3.5</v>
      </c>
      <c r="I9" s="7">
        <f>AVERAGE(C9:G9)</f>
        <v>5.6</v>
      </c>
      <c r="J9" s="7">
        <f>AVERAGE(D9:G9)</f>
        <v>3.625</v>
      </c>
    </row>
    <row r="10" spans="2:10" x14ac:dyDescent="0.2">
      <c r="B10" s="5">
        <v>43736</v>
      </c>
      <c r="C10">
        <v>10.6</v>
      </c>
      <c r="D10">
        <v>3.1</v>
      </c>
      <c r="E10">
        <v>1.5</v>
      </c>
      <c r="F10">
        <v>1.6</v>
      </c>
      <c r="G10">
        <v>2</v>
      </c>
      <c r="I10" s="7">
        <f>AVERAGE(C10:G10)</f>
        <v>3.76</v>
      </c>
      <c r="J10" s="7">
        <f>AVERAGE(D10:G10)</f>
        <v>2.05</v>
      </c>
    </row>
    <row r="11" spans="2:10" x14ac:dyDescent="0.2">
      <c r="B11" s="5">
        <v>43764</v>
      </c>
      <c r="C11">
        <v>13.8</v>
      </c>
      <c r="D11">
        <v>9.2</v>
      </c>
      <c r="E11">
        <v>6.2</v>
      </c>
      <c r="F11">
        <v>3.1</v>
      </c>
      <c r="G11">
        <v>4.4</v>
      </c>
      <c r="I11" s="7">
        <f>AVERAGE(C11:G11)</f>
        <v>7.34</v>
      </c>
      <c r="J11" s="7">
        <f>AVERAGE(D11:G11)</f>
        <v>5.725</v>
      </c>
    </row>
    <row r="13" spans="2:10" x14ac:dyDescent="0.2">
      <c r="B13" s="1" t="s">
        <v>11</v>
      </c>
      <c r="C13" s="4">
        <f>AVERAGE(C6:C11)</f>
        <v>8.71666666666667</v>
      </c>
      <c r="D13" s="4">
        <f>AVERAGE(D6:D11)</f>
        <v>4.81666666666667</v>
      </c>
      <c r="E13" s="4">
        <f>AVERAGE(E6:E11)</f>
        <v>2.8</v>
      </c>
      <c r="F13" s="4">
        <f>AVERAGE(F6:F11)</f>
        <v>2.66666666666667</v>
      </c>
      <c r="G13" s="4">
        <f>AVERAGE(G6:G11)</f>
        <v>3.13333333333333</v>
      </c>
      <c r="I13" s="7">
        <f>AVERAGE(C13:G13)</f>
        <v>4.42666666666667</v>
      </c>
      <c r="J13" s="7">
        <f>AVERAGE(D13:H13)</f>
        <v>3.35416666666667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4CF8-C5E4-E348-ACF5-1412E915412D}">
  <sheetViews>
    <sheetView workbookViewId="0">
      <selection pane="topLeft" activeCell="A9" sqref="A9:XFD9"/>
    </sheetView>
  </sheetViews>
  <sheetFormatPr baseColWidth="10" defaultRowHeight="16"/>
  <sheetData>
    <row r="2" spans="2:10" x14ac:dyDescent="0.2">
      <c r="C2" t="s">
        <v>9</v>
      </c>
    </row>
    <row r="4" spans="2:10" x14ac:dyDescent="0.2">
      <c r="E4" t="s">
        <v>7</v>
      </c>
    </row>
    <row r="5" spans="2:10" x14ac:dyDescent="0.2">
      <c r="B5" t="s">
        <v>1</v>
      </c>
      <c r="C5" t="s">
        <v>6</v>
      </c>
      <c r="D5" t="s">
        <v>2</v>
      </c>
      <c r="E5" t="s">
        <v>3</v>
      </c>
      <c r="F5" t="s">
        <v>4</v>
      </c>
      <c r="G5" t="s">
        <v>5</v>
      </c>
      <c r="I5" s="1" t="s">
        <v>12</v>
      </c>
      <c r="J5" s="1" t="s">
        <v>22</v>
      </c>
    </row>
    <row r="6" spans="2:10" x14ac:dyDescent="0.2">
      <c r="B6" s="5">
        <v>43974</v>
      </c>
      <c r="C6">
        <v>0.1</v>
      </c>
      <c r="D6">
        <v>4.1</v>
      </c>
      <c r="E6">
        <v>4.5</v>
      </c>
      <c r="F6">
        <v>3.3</v>
      </c>
      <c r="G6">
        <v>3.5</v>
      </c>
      <c r="I6" s="7">
        <f>AVERAGE(C6:G6)</f>
        <v>3.1</v>
      </c>
      <c r="J6" s="7">
        <f>AVERAGE(D6:G6)</f>
        <v>3.85</v>
      </c>
    </row>
    <row r="7" spans="2:10" x14ac:dyDescent="0.2">
      <c r="B7" s="5">
        <v>44009</v>
      </c>
      <c r="C7">
        <v>3.6</v>
      </c>
      <c r="D7">
        <v>1.7</v>
      </c>
      <c r="E7">
        <v>1.2</v>
      </c>
      <c r="F7">
        <v>1.5</v>
      </c>
      <c r="G7">
        <v>1.9</v>
      </c>
      <c r="I7" s="7">
        <f>AVERAGE(C7:G7)</f>
        <v>1.98</v>
      </c>
      <c r="J7" s="7">
        <f>AVERAGE(D7:G7)</f>
        <v>1.575</v>
      </c>
    </row>
    <row r="8" spans="2:10" x14ac:dyDescent="0.2">
      <c r="B8" s="5">
        <v>44037</v>
      </c>
      <c r="C8">
        <v>7.7</v>
      </c>
      <c r="D8">
        <v>4</v>
      </c>
      <c r="E8">
        <v>1.8</v>
      </c>
      <c r="F8">
        <v>2.3</v>
      </c>
      <c r="G8">
        <v>2.3</v>
      </c>
      <c r="I8" s="7">
        <f>AVERAGE(C8:G8)</f>
        <v>3.62</v>
      </c>
      <c r="J8" s="7">
        <f>AVERAGE(D8:G8)</f>
        <v>2.6</v>
      </c>
    </row>
    <row r="9" spans="2:10" x14ac:dyDescent="0.2">
      <c r="B9" s="5">
        <v>44065</v>
      </c>
      <c r="C9">
        <v>2.8</v>
      </c>
      <c r="D9">
        <v>16.4</v>
      </c>
      <c r="E9">
        <v>8.9</v>
      </c>
      <c r="F9">
        <v>7.6</v>
      </c>
      <c r="G9">
        <v>10.9</v>
      </c>
      <c r="I9" s="7">
        <f>AVERAGE(C9:G9)</f>
        <v>9.32</v>
      </c>
      <c r="J9" s="7">
        <f>AVERAGE(D9:G9)</f>
        <v>10.95</v>
      </c>
    </row>
    <row r="10" spans="2:10" x14ac:dyDescent="0.2">
      <c r="B10" s="5">
        <v>44100</v>
      </c>
      <c r="C10">
        <v>1.6</v>
      </c>
      <c r="D10">
        <v>8.2</v>
      </c>
      <c r="E10">
        <v>6.1</v>
      </c>
      <c r="F10">
        <v>4.4</v>
      </c>
      <c r="G10">
        <v>4.2</v>
      </c>
      <c r="I10" s="7">
        <f>AVERAGE(C10:G10)</f>
        <v>4.9</v>
      </c>
      <c r="J10" s="7">
        <f>AVERAGE(D10:G10)</f>
        <v>5.725</v>
      </c>
    </row>
    <row r="11" spans="2:10" x14ac:dyDescent="0.2">
      <c r="B11" s="5">
        <v>44128</v>
      </c>
      <c r="C11">
        <v>1.1</v>
      </c>
      <c r="D11">
        <v>8.4</v>
      </c>
      <c r="F11">
        <v>4.8</v>
      </c>
      <c r="I11" s="7">
        <f>AVERAGE(C11:G11)</f>
        <v>4.76666666666667</v>
      </c>
      <c r="J11" s="7">
        <f>AVERAGE(D11:G11)</f>
        <v>6.6</v>
      </c>
    </row>
    <row r="13" spans="2:10" x14ac:dyDescent="0.2">
      <c r="B13" s="1" t="s">
        <v>11</v>
      </c>
      <c r="C13" s="4">
        <f>AVERAGE(C6:C11)</f>
        <v>2.81666666666667</v>
      </c>
      <c r="D13" s="4">
        <f>AVERAGE(D6:D11)</f>
        <v>7.13333333333333</v>
      </c>
      <c r="E13" s="4">
        <f>AVERAGE(E6:E11)</f>
        <v>4.5</v>
      </c>
      <c r="F13" s="4">
        <f>AVERAGE(F6:F11)</f>
        <v>3.98333333333333</v>
      </c>
      <c r="G13" s="4">
        <f>AVERAGE(G6:G11)</f>
        <v>4.56</v>
      </c>
      <c r="I13" s="7">
        <f>AVERAGE(C13:G13)</f>
        <v>4.59866666666667</v>
      </c>
      <c r="J13" s="7">
        <f>AVERAGE(D13:H13)</f>
        <v>5.04416666666667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EF89E-178A-6F49-9076-B39907C9A2E7}">
  <sheetViews>
    <sheetView workbookViewId="0">
      <selection pane="topLeft" sqref="A1:C19"/>
    </sheetView>
  </sheetViews>
  <sheetFormatPr baseColWidth="10" defaultRowHeight="16"/>
  <sheetData>
    <row r="2" spans="2:3" x14ac:dyDescent="0.2">
      <c r="B2" t="s">
        <v>27</v>
      </c>
    </row>
    <row r="4" spans="2:3" x14ac:dyDescent="0.2">
      <c r="B4" t="s">
        <v>13</v>
      </c>
      <c r="C4" t="s">
        <v>28</v>
      </c>
    </row>
    <row r="5" spans="2:3" x14ac:dyDescent="0.2">
      <c r="B5">
        <v>2018</v>
      </c>
      <c r="C5" s="6">
        <v>3</v>
      </c>
    </row>
    <row r="6" spans="2:3" x14ac:dyDescent="0.2">
      <c r="B6">
        <v>2019</v>
      </c>
      <c r="C6" s="6">
        <v>4.4</v>
      </c>
    </row>
    <row r="7" spans="2:3" x14ac:dyDescent="0.2">
      <c r="B7">
        <v>2020</v>
      </c>
      <c r="C7" s="6">
        <v>4.6</v>
      </c>
    </row>
    <row r="8" spans="2:3" x14ac:dyDescent="0.2">
      <c r="B8">
        <v>2021</v>
      </c>
      <c r="C8" s="6">
        <v>4.1</v>
      </c>
    </row>
    <row r="9" spans="2:3" x14ac:dyDescent="0.2">
      <c r="B9">
        <v>2022</v>
      </c>
      <c r="C9" s="6">
        <v>4.5</v>
      </c>
    </row>
    <row r="10" spans="2:3" x14ac:dyDescent="0.2">
      <c r="B10">
        <v>2023</v>
      </c>
      <c r="C10" s="6">
        <v>4.8</v>
      </c>
    </row>
    <row r="13" spans="2:3" x14ac:dyDescent="0.2">
      <c r="B13" t="s">
        <v>13</v>
      </c>
      <c r="C13" t="s">
        <v>29</v>
      </c>
    </row>
    <row r="14" spans="2:3" x14ac:dyDescent="0.2">
      <c r="B14">
        <v>2018</v>
      </c>
      <c r="C14" s="6">
        <v>2</v>
      </c>
    </row>
    <row r="15" spans="2:3" x14ac:dyDescent="0.2">
      <c r="B15">
        <v>2019</v>
      </c>
      <c r="C15" s="6">
        <v>3.4</v>
      </c>
    </row>
    <row r="16" spans="2:3" x14ac:dyDescent="0.2">
      <c r="B16">
        <v>2020</v>
      </c>
      <c r="C16" s="6">
        <v>5</v>
      </c>
    </row>
    <row r="17" spans="2:3" x14ac:dyDescent="0.2">
      <c r="B17">
        <v>2021</v>
      </c>
      <c r="C17" s="6">
        <v>3.5</v>
      </c>
    </row>
    <row r="18" spans="2:3" x14ac:dyDescent="0.2">
      <c r="B18">
        <v>2022</v>
      </c>
      <c r="C18" s="6">
        <v>3.3</v>
      </c>
    </row>
    <row r="19" spans="2:3" x14ac:dyDescent="0.2">
      <c r="B19">
        <v>2023</v>
      </c>
      <c r="C19" s="6">
        <v>3.6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FEA61-5AAB-094C-801A-D80E67E1C51F}">
  <sheetViews>
    <sheetView workbookViewId="0" tabSelected="1">
      <selection pane="topLeft" activeCell="R10" sqref="R10"/>
    </sheetView>
  </sheetViews>
  <sheetFormatPr baseColWidth="10" defaultRowHeight="16"/>
  <sheetData>
    <row r="2" spans="2:3" x14ac:dyDescent="0.2">
      <c r="B2" t="s">
        <v>27</v>
      </c>
    </row>
    <row r="4" spans="2:3" x14ac:dyDescent="0.2">
      <c r="B4" t="s">
        <v>13</v>
      </c>
      <c r="C4" t="s">
        <v>28</v>
      </c>
    </row>
    <row r="5" spans="2:3" x14ac:dyDescent="0.2">
      <c r="B5">
        <v>2018</v>
      </c>
      <c r="C5" s="6">
        <v>3</v>
      </c>
    </row>
    <row r="6" spans="2:3" x14ac:dyDescent="0.2">
      <c r="B6">
        <v>2019</v>
      </c>
      <c r="C6" s="6">
        <v>4.4</v>
      </c>
    </row>
    <row r="7" spans="2:3" x14ac:dyDescent="0.2">
      <c r="B7">
        <v>2020</v>
      </c>
      <c r="C7" s="6">
        <v>4.6</v>
      </c>
    </row>
    <row r="8" spans="2:3" x14ac:dyDescent="0.2">
      <c r="B8">
        <v>2021</v>
      </c>
      <c r="C8" s="6">
        <v>4.1</v>
      </c>
    </row>
    <row r="9" spans="2:3" x14ac:dyDescent="0.2">
      <c r="B9">
        <v>2022</v>
      </c>
      <c r="C9" s="6">
        <v>4.5</v>
      </c>
    </row>
    <row r="10" spans="2:3" x14ac:dyDescent="0.2">
      <c r="B10">
        <v>2023</v>
      </c>
      <c r="C10" s="6">
        <v>4.8</v>
      </c>
    </row>
    <row r="11" spans="2:3" x14ac:dyDescent="0.2">
      <c r="B11">
        <v>2024</v>
      </c>
      <c r="C11" s="6">
        <v>4.5</v>
      </c>
    </row>
    <row r="12" spans="2:3" x14ac:dyDescent="0.2">
      <c r="B12">
        <v>2025</v>
      </c>
      <c r="C12" s="6">
        <v>4.06</v>
      </c>
    </row>
    <row r="15" spans="2:3" x14ac:dyDescent="0.2">
      <c r="B15" t="s">
        <v>13</v>
      </c>
      <c r="C15" t="s">
        <v>29</v>
      </c>
    </row>
    <row r="16" spans="2:3" x14ac:dyDescent="0.2">
      <c r="B16">
        <v>2018</v>
      </c>
      <c r="C16" s="6">
        <v>2</v>
      </c>
    </row>
    <row r="17" spans="2:3" x14ac:dyDescent="0.2">
      <c r="B17">
        <v>2019</v>
      </c>
      <c r="C17" s="6">
        <v>3.4</v>
      </c>
    </row>
    <row r="18" spans="2:3" x14ac:dyDescent="0.2">
      <c r="B18">
        <v>2020</v>
      </c>
      <c r="C18" s="6">
        <v>5</v>
      </c>
    </row>
    <row r="19" spans="2:3" x14ac:dyDescent="0.2">
      <c r="B19">
        <v>2021</v>
      </c>
      <c r="C19" s="6">
        <v>3.5</v>
      </c>
    </row>
    <row r="20" spans="2:3" x14ac:dyDescent="0.2">
      <c r="B20">
        <v>2022</v>
      </c>
      <c r="C20" s="6">
        <v>3.3</v>
      </c>
    </row>
    <row r="21" spans="2:3" x14ac:dyDescent="0.2">
      <c r="B21">
        <v>2023</v>
      </c>
      <c r="C21" s="6">
        <v>3.6</v>
      </c>
    </row>
    <row r="22" spans="2:3" x14ac:dyDescent="0.2">
      <c r="B22">
        <v>2024</v>
      </c>
      <c r="C22" s="6">
        <v>2.45</v>
      </c>
    </row>
    <row r="23" spans="2:3" x14ac:dyDescent="0.2">
      <c r="B23">
        <v>2025</v>
      </c>
      <c r="C23" s="6">
        <v>3.29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66CD1-6C19-9D4F-BD6B-039F5F0B823B}">
  <sheetViews>
    <sheetView workbookViewId="0">
      <selection pane="topLeft" sqref="A1:J13"/>
    </sheetView>
  </sheetViews>
  <sheetFormatPr baseColWidth="10" defaultRowHeight="16"/>
  <sheetData>
    <row r="2" spans="2:10" x14ac:dyDescent="0.2">
      <c r="C2" t="s">
        <v>10</v>
      </c>
    </row>
    <row r="4" spans="2:10" x14ac:dyDescent="0.2">
      <c r="E4" t="s">
        <v>7</v>
      </c>
    </row>
    <row r="5" spans="2:10" x14ac:dyDescent="0.2">
      <c r="B5" t="s">
        <v>1</v>
      </c>
      <c r="C5" t="s">
        <v>6</v>
      </c>
      <c r="D5" t="s">
        <v>2</v>
      </c>
      <c r="E5" t="s">
        <v>3</v>
      </c>
      <c r="F5" t="s">
        <v>4</v>
      </c>
      <c r="G5" t="s">
        <v>5</v>
      </c>
      <c r="I5" s="1" t="s">
        <v>12</v>
      </c>
      <c r="J5" s="8" t="s">
        <v>23</v>
      </c>
    </row>
    <row r="6" spans="2:10" x14ac:dyDescent="0.2">
      <c r="B6" s="5">
        <v>44338</v>
      </c>
      <c r="C6" s="6">
        <v>3.8</v>
      </c>
      <c r="D6" s="6">
        <v>4</v>
      </c>
      <c r="E6" s="6">
        <v>2.6</v>
      </c>
      <c r="F6" s="6">
        <v>2.6</v>
      </c>
      <c r="G6" s="6">
        <v>2.5</v>
      </c>
      <c r="I6" s="7">
        <f>AVERAGE(C6:G6)</f>
        <v>3.1</v>
      </c>
      <c r="J6" s="7">
        <f>AVERAGE(D6:G6)</f>
        <v>2.925</v>
      </c>
    </row>
    <row r="7" spans="2:10" x14ac:dyDescent="0.2">
      <c r="B7" s="5">
        <v>44373</v>
      </c>
      <c r="C7" s="6">
        <v>4.3</v>
      </c>
      <c r="D7" s="6">
        <v>2</v>
      </c>
      <c r="E7" s="6">
        <v>1.4</v>
      </c>
      <c r="F7" s="6">
        <v>1.2</v>
      </c>
      <c r="G7" s="6">
        <v>1.5</v>
      </c>
      <c r="I7" s="7">
        <f>AVERAGE(C7:G7)</f>
        <v>2.08</v>
      </c>
      <c r="J7" s="7">
        <f>AVERAGE(D7:G7)</f>
        <v>1.525</v>
      </c>
    </row>
    <row r="8" spans="2:10" x14ac:dyDescent="0.2">
      <c r="B8" s="5">
        <v>44401</v>
      </c>
      <c r="C8" s="6">
        <v>5.2</v>
      </c>
      <c r="D8" s="6">
        <v>2.5</v>
      </c>
      <c r="E8" s="6">
        <v>1.5</v>
      </c>
      <c r="F8" s="6">
        <v>1.6</v>
      </c>
      <c r="G8" s="6">
        <v>2</v>
      </c>
      <c r="I8" s="7">
        <f>AVERAGE(C8:G8)</f>
        <v>2.56</v>
      </c>
      <c r="J8" s="7">
        <f>AVERAGE(D8:G8)</f>
        <v>1.9</v>
      </c>
    </row>
    <row r="9" spans="2:10" x14ac:dyDescent="0.2">
      <c r="B9" s="5">
        <v>44436</v>
      </c>
      <c r="C9" s="6">
        <v>15.8</v>
      </c>
      <c r="D9" s="6">
        <v>5</v>
      </c>
      <c r="E9" s="6">
        <v>3.1</v>
      </c>
      <c r="F9" s="6">
        <v>2.2</v>
      </c>
      <c r="G9" s="6">
        <v>2.7</v>
      </c>
      <c r="I9" s="7">
        <f>AVERAGE(C9:G9)</f>
        <v>5.76</v>
      </c>
      <c r="J9" s="7">
        <f>AVERAGE(D9:G9)</f>
        <v>3.25</v>
      </c>
    </row>
    <row r="10" spans="2:10" x14ac:dyDescent="0.2">
      <c r="B10" s="5">
        <v>44464</v>
      </c>
      <c r="C10" s="6">
        <v>7.6</v>
      </c>
      <c r="D10" s="6">
        <v>7.4</v>
      </c>
      <c r="E10" s="6">
        <v>7.1</v>
      </c>
      <c r="F10" s="6">
        <v>5.1</v>
      </c>
      <c r="G10" s="6">
        <v>6.4</v>
      </c>
      <c r="I10" s="7">
        <f>AVERAGE(C10:G10)</f>
        <v>6.72</v>
      </c>
      <c r="J10" s="7">
        <f>AVERAGE(D10:G10)</f>
        <v>6.5</v>
      </c>
    </row>
    <row r="11" spans="2:10" x14ac:dyDescent="0.2">
      <c r="B11" s="5">
        <v>44492</v>
      </c>
      <c r="C11" s="6">
        <v>2.8</v>
      </c>
      <c r="D11" s="6">
        <v>5</v>
      </c>
      <c r="E11" s="6">
        <v>5.1</v>
      </c>
      <c r="F11" s="6">
        <v>4.6</v>
      </c>
      <c r="G11" s="6">
        <v>5.4</v>
      </c>
      <c r="I11" s="7">
        <f>AVERAGE(C11:G11)</f>
        <v>4.58</v>
      </c>
      <c r="J11" s="7">
        <f>AVERAGE(D11:G11)</f>
        <v>5.025</v>
      </c>
    </row>
    <row r="13" spans="2:10" x14ac:dyDescent="0.2">
      <c r="B13" t="s">
        <v>12</v>
      </c>
      <c r="C13" s="4">
        <f>AVERAGE(C6:C11)</f>
        <v>6.58333333333333</v>
      </c>
      <c r="D13" s="4">
        <f>AVERAGE(D6:D11)</f>
        <v>4.31666666666667</v>
      </c>
      <c r="E13" s="4">
        <f>AVERAGE(E6:E11)</f>
        <v>3.46666666666667</v>
      </c>
      <c r="F13" s="4">
        <f>AVERAGE(F6:F11)</f>
        <v>2.88333333333333</v>
      </c>
      <c r="G13" s="4">
        <f>AVERAGE(G6:G11)</f>
        <v>3.41666666666667</v>
      </c>
      <c r="I13" s="7">
        <f>AVERAGE(C13:G13)</f>
        <v>4.13333333333333</v>
      </c>
      <c r="J13" s="7">
        <f>AVERAGE(D13:H13)</f>
        <v>3.52083333333333</v>
      </c>
    </row>
    <row r="18" spans="11:11" x14ac:dyDescent="0.2">
      <c r="K18" s="5">
        <v>44338</v>
      </c>
    </row>
    <row r="19" spans="11:11" x14ac:dyDescent="0.2">
      <c r="K19" s="5">
        <v>44008</v>
      </c>
    </row>
    <row r="20" spans="11:11" x14ac:dyDescent="0.2">
      <c r="K20" s="5">
        <v>44401</v>
      </c>
    </row>
    <row r="21" spans="11:11" x14ac:dyDescent="0.2">
      <c r="K21" s="5">
        <v>44436</v>
      </c>
    </row>
    <row r="22" spans="11:11" x14ac:dyDescent="0.2">
      <c r="K22" s="5">
        <v>44464</v>
      </c>
    </row>
    <row r="23" spans="11:11" x14ac:dyDescent="0.2">
      <c r="K23" s="5">
        <v>44492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32DAC-9D01-3E4F-8378-A84B6A70A6BE}">
  <sheetViews>
    <sheetView workbookViewId="0">
      <selection pane="topLeft" activeCell="J17" sqref="J17"/>
    </sheetView>
  </sheetViews>
  <sheetFormatPr baseColWidth="10" defaultRowHeight="16"/>
  <cols>
    <col min="4" max="8" width="12.6640625" bestFit="1" customWidth="1"/>
  </cols>
  <sheetData>
    <row r="4" spans="3:10" x14ac:dyDescent="0.2">
      <c r="C4" t="s">
        <v>13</v>
      </c>
      <c r="D4" t="s">
        <v>14</v>
      </c>
    </row>
    <row r="5" spans="3:10" x14ac:dyDescent="0.2">
      <c r="C5">
        <v>18</v>
      </c>
      <c r="D5">
        <v>3</v>
      </c>
    </row>
    <row r="6" spans="3:10" x14ac:dyDescent="0.2">
      <c r="C6">
        <v>19</v>
      </c>
      <c r="D6">
        <v>4.4</v>
      </c>
    </row>
    <row r="7" spans="3:10" x14ac:dyDescent="0.2">
      <c r="C7">
        <v>20</v>
      </c>
      <c r="D7">
        <v>4.6</v>
      </c>
    </row>
    <row r="8" spans="3:10" x14ac:dyDescent="0.2">
      <c r="C8">
        <v>21</v>
      </c>
      <c r="D8">
        <v>4.1</v>
      </c>
    </row>
    <row r="12" spans="3:10" x14ac:dyDescent="0.2">
      <c r="C12" t="s">
        <v>15</v>
      </c>
      <c r="J12" t="s">
        <v>12</v>
      </c>
    </row>
    <row r="13" spans="3:10" x14ac:dyDescent="0.2">
      <c r="C13" t="s">
        <v>13</v>
      </c>
      <c r="D13" t="s">
        <v>16</v>
      </c>
      <c r="E13" t="s">
        <v>17</v>
      </c>
      <c r="F13" t="s">
        <v>18</v>
      </c>
      <c r="G13" t="s">
        <v>19</v>
      </c>
      <c r="H13" t="s">
        <v>20</v>
      </c>
      <c r="I13" t="s">
        <v>12</v>
      </c>
      <c r="J13" t="s">
        <v>21</v>
      </c>
    </row>
    <row r="14" spans="3:10" x14ac:dyDescent="0.2">
      <c r="C14">
        <v>18</v>
      </c>
      <c r="D14" s="9">
        <v>7.03</v>
      </c>
      <c r="E14" s="9">
        <v>2.21</v>
      </c>
      <c r="F14" s="9">
        <v>1.59</v>
      </c>
      <c r="G14" s="9">
        <v>2.08</v>
      </c>
      <c r="H14" s="9">
        <v>2.09</v>
      </c>
      <c r="I14" s="7">
        <f>AVERAGE(D14:H14)</f>
        <v>3</v>
      </c>
      <c r="J14" s="7">
        <f>AVERAGE(E14:H14)</f>
        <v>1.9925</v>
      </c>
    </row>
    <row r="15" spans="3:10" x14ac:dyDescent="0.2">
      <c r="C15">
        <v>19</v>
      </c>
      <c r="D15" s="9">
        <v>8.72</v>
      </c>
      <c r="E15" s="9">
        <v>4.82</v>
      </c>
      <c r="F15" s="9">
        <v>2.8</v>
      </c>
      <c r="G15" s="9">
        <v>2.67</v>
      </c>
      <c r="H15" s="9">
        <v>3.13</v>
      </c>
      <c r="I15" s="7">
        <f>AVERAGE(D15:H15)</f>
        <v>4.428</v>
      </c>
      <c r="J15" s="7">
        <f>AVERAGE(E15:H15)</f>
        <v>3.355</v>
      </c>
    </row>
    <row r="16" spans="3:10" x14ac:dyDescent="0.2">
      <c r="C16">
        <v>20</v>
      </c>
      <c r="D16" s="9">
        <v>2.82</v>
      </c>
      <c r="E16" s="9">
        <v>7.13</v>
      </c>
      <c r="F16" s="9">
        <v>4.5</v>
      </c>
      <c r="G16" s="9">
        <v>3.98</v>
      </c>
      <c r="H16" s="9">
        <v>4.56</v>
      </c>
      <c r="I16" s="7">
        <f>AVERAGE(D16:H16)</f>
        <v>4.598</v>
      </c>
      <c r="J16" s="7">
        <f>AVERAGE(E16:H16)</f>
        <v>5.0425</v>
      </c>
    </row>
    <row r="17" spans="3:10" x14ac:dyDescent="0.2">
      <c r="C17">
        <v>21</v>
      </c>
      <c r="D17" s="7">
        <v>6.58333333333333</v>
      </c>
      <c r="E17" s="7">
        <v>4.31666666666667</v>
      </c>
      <c r="F17" s="7">
        <v>3.46666666666667</v>
      </c>
      <c r="G17" s="7">
        <v>2.88333333333333</v>
      </c>
      <c r="H17" s="7">
        <v>3.41666666666667</v>
      </c>
      <c r="I17" s="7">
        <f>AVERAGE(D17:H17)</f>
        <v>4.13333333333333</v>
      </c>
      <c r="J17" s="7">
        <f>AVERAGE(E17:H17)</f>
        <v>3.52083333333333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D80DB-5213-F746-B15E-2EF2076B0787}">
  <sheetViews>
    <sheetView workbookViewId="0">
      <selection pane="topLeft" sqref="A1:J13"/>
    </sheetView>
  </sheetViews>
  <sheetFormatPr baseColWidth="10" defaultRowHeight="16"/>
  <sheetData>
    <row r="2" spans="2:10" x14ac:dyDescent="0.2">
      <c r="C2" t="s">
        <v>24</v>
      </c>
    </row>
    <row r="4" spans="2:10" x14ac:dyDescent="0.2">
      <c r="E4" t="s">
        <v>7</v>
      </c>
    </row>
    <row r="5" spans="2:10" x14ac:dyDescent="0.2">
      <c r="B5" t="s">
        <v>1</v>
      </c>
      <c r="C5" t="s">
        <v>6</v>
      </c>
      <c r="D5" t="s">
        <v>2</v>
      </c>
      <c r="E5" t="s">
        <v>3</v>
      </c>
      <c r="F5" t="s">
        <v>4</v>
      </c>
      <c r="G5" t="s">
        <v>5</v>
      </c>
      <c r="I5" s="1" t="s">
        <v>12</v>
      </c>
      <c r="J5" s="8" t="s">
        <v>23</v>
      </c>
    </row>
    <row r="6" spans="2:10" x14ac:dyDescent="0.2">
      <c r="B6" s="5">
        <v>44709</v>
      </c>
      <c r="C6" s="6">
        <v>1</v>
      </c>
      <c r="D6" s="6">
        <v>6.2</v>
      </c>
      <c r="E6" s="6">
        <v>5.2</v>
      </c>
      <c r="F6" s="6">
        <v>3.5</v>
      </c>
      <c r="G6" s="6">
        <v>4.1</v>
      </c>
      <c r="I6" s="7">
        <f>AVERAGE(C6:G6)</f>
        <v>4</v>
      </c>
      <c r="J6" s="7">
        <f>AVERAGE(D6:G6)</f>
        <v>4.75</v>
      </c>
    </row>
    <row r="7" spans="2:10" x14ac:dyDescent="0.2">
      <c r="B7" s="5">
        <v>44737</v>
      </c>
      <c r="C7" s="6">
        <v>17.1</v>
      </c>
      <c r="D7" s="6">
        <v>3.6</v>
      </c>
      <c r="E7" s="6">
        <v>1.9</v>
      </c>
      <c r="F7" s="6">
        <v>2.6</v>
      </c>
      <c r="G7" s="6">
        <v>2.7</v>
      </c>
      <c r="I7" s="7">
        <f>AVERAGE(C7:G7)</f>
        <v>5.58</v>
      </c>
      <c r="J7" s="7">
        <f>AVERAGE(D7:G7)</f>
        <v>2.7</v>
      </c>
    </row>
    <row r="8" spans="2:10" x14ac:dyDescent="0.2">
      <c r="B8" s="5">
        <v>44765</v>
      </c>
      <c r="C8" s="6">
        <v>9.9</v>
      </c>
      <c r="D8" s="6">
        <v>3.2</v>
      </c>
      <c r="E8" s="6">
        <v>2.2</v>
      </c>
      <c r="F8" s="6">
        <v>2.2</v>
      </c>
      <c r="G8" s="6">
        <v>2.3</v>
      </c>
      <c r="I8" s="7">
        <f>AVERAGE(C8:G8)</f>
        <v>3.96</v>
      </c>
      <c r="J8" s="7">
        <f>AVERAGE(D8:G8)</f>
        <v>2.475</v>
      </c>
    </row>
    <row r="9" spans="2:10" x14ac:dyDescent="0.2">
      <c r="B9" s="5">
        <v>44800</v>
      </c>
      <c r="C9" s="6">
        <v>6.9</v>
      </c>
      <c r="D9" s="6">
        <v>5</v>
      </c>
      <c r="E9" s="6">
        <v>2.2</v>
      </c>
      <c r="F9" s="6">
        <v>2.6</v>
      </c>
      <c r="G9" s="6">
        <v>2</v>
      </c>
      <c r="I9" s="7">
        <f>AVERAGE(C9:G9)</f>
        <v>3.74</v>
      </c>
      <c r="J9" s="7">
        <f>AVERAGE(D9:G9)</f>
        <v>2.95</v>
      </c>
    </row>
    <row r="10" spans="2:10" x14ac:dyDescent="0.2">
      <c r="B10" s="5">
        <v>44828</v>
      </c>
      <c r="C10" s="6">
        <v>10.7</v>
      </c>
      <c r="D10" s="6">
        <v>6</v>
      </c>
      <c r="E10" s="6">
        <v>4.2</v>
      </c>
      <c r="F10" s="6">
        <v>2.6</v>
      </c>
      <c r="G10" s="6">
        <v>2.4</v>
      </c>
      <c r="I10" s="7">
        <f>AVERAGE(C10:G10)</f>
        <v>5.18</v>
      </c>
      <c r="J10" s="7">
        <f>AVERAGE(D10:G10)</f>
        <v>3.8</v>
      </c>
    </row>
    <row r="11" spans="2:10" x14ac:dyDescent="0.2">
      <c r="B11" s="5"/>
      <c r="C11" s="6"/>
      <c r="D11" s="6"/>
      <c r="E11" s="6"/>
      <c r="F11" s="6"/>
      <c r="G11" s="6"/>
      <c r="I11" s="7" t="e">
        <f>AVERAGE(C11:G11)</f>
        <v>#DIV/0!</v>
      </c>
      <c r="J11" s="7" t="e">
        <f>AVERAGE(D11:G11)</f>
        <v>#DIV/0!</v>
      </c>
    </row>
    <row r="13" spans="2:10" x14ac:dyDescent="0.2">
      <c r="B13" t="s">
        <v>12</v>
      </c>
      <c r="C13" s="4">
        <f>AVERAGE(C6:C11)</f>
        <v>9.12</v>
      </c>
      <c r="D13" s="4">
        <f>AVERAGE(D6:D11)</f>
        <v>4.8</v>
      </c>
      <c r="E13" s="4">
        <f>AVERAGE(E6:E11)</f>
        <v>3.14</v>
      </c>
      <c r="F13" s="4">
        <f>AVERAGE(F6:F11)</f>
        <v>2.7</v>
      </c>
      <c r="G13" s="4">
        <f>AVERAGE(G6:G11)</f>
        <v>2.7</v>
      </c>
      <c r="I13" s="7">
        <f>AVERAGE(C13:G13)</f>
        <v>4.492</v>
      </c>
      <c r="J13" s="7">
        <f>AVERAGE(D13:H13)</f>
        <v>3.335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873D8-8AED-2648-AD05-5D68A70EC5D5}">
  <sheetViews>
    <sheetView topLeftCell="A2" zoomScale="200" workbookViewId="0" zoomScaleNormal="200">
      <selection pane="topLeft" activeCell="I6" sqref="I6"/>
    </sheetView>
  </sheetViews>
  <sheetFormatPr baseColWidth="10" defaultRowHeight="16"/>
  <sheetData>
    <row r="2" spans="2:10" x14ac:dyDescent="0.2">
      <c r="C2" t="s">
        <v>25</v>
      </c>
    </row>
    <row r="4" spans="2:10" x14ac:dyDescent="0.2">
      <c r="E4" t="s">
        <v>7</v>
      </c>
    </row>
    <row r="5" spans="2:10" x14ac:dyDescent="0.2">
      <c r="B5" t="s">
        <v>1</v>
      </c>
      <c r="C5" t="s">
        <v>6</v>
      </c>
      <c r="D5" t="s">
        <v>2</v>
      </c>
      <c r="E5" t="s">
        <v>3</v>
      </c>
      <c r="F5" t="s">
        <v>4</v>
      </c>
      <c r="G5" t="s">
        <v>5</v>
      </c>
      <c r="H5" t="s">
        <v>26</v>
      </c>
      <c r="I5" s="1" t="s">
        <v>12</v>
      </c>
      <c r="J5" s="8" t="s">
        <v>23</v>
      </c>
    </row>
    <row r="6" spans="2:10" x14ac:dyDescent="0.2">
      <c r="B6" s="5">
        <v>45073</v>
      </c>
      <c r="C6" s="6">
        <v>6.1</v>
      </c>
      <c r="D6" s="6">
        <v>5.5</v>
      </c>
      <c r="E6" s="6">
        <v>1.3</v>
      </c>
      <c r="F6" s="6">
        <v>1.8</v>
      </c>
      <c r="G6" s="6">
        <v>1.7</v>
      </c>
      <c r="I6" s="7">
        <f>AVERAGE(C6:G6)</f>
        <v>3.28</v>
      </c>
      <c r="J6" s="7">
        <f>AVERAGE(D6:G6)</f>
        <v>2.575</v>
      </c>
    </row>
    <row r="7" spans="2:10" x14ac:dyDescent="0.2">
      <c r="B7" s="5">
        <v>45101</v>
      </c>
      <c r="C7" s="6">
        <v>1</v>
      </c>
      <c r="D7" s="6">
        <v>5.8</v>
      </c>
      <c r="E7" s="6">
        <v>4</v>
      </c>
      <c r="F7" s="6">
        <v>2.3</v>
      </c>
      <c r="G7" s="6">
        <v>2.2</v>
      </c>
      <c r="I7" s="7">
        <f>AVERAGE(C7:G7)</f>
        <v>3.06</v>
      </c>
      <c r="J7" s="7">
        <f>AVERAGE(D7:G7)</f>
        <v>3.575</v>
      </c>
    </row>
    <row r="8" spans="2:10" x14ac:dyDescent="0.2">
      <c r="B8" s="5">
        <v>45129</v>
      </c>
      <c r="C8" s="6">
        <v>20.5</v>
      </c>
      <c r="D8" s="6">
        <v>6.9</v>
      </c>
      <c r="E8" s="6">
        <v>3.2</v>
      </c>
      <c r="F8" s="6">
        <v>3.2</v>
      </c>
      <c r="G8" s="6">
        <v>5.2</v>
      </c>
      <c r="H8" s="6">
        <v>4.2</v>
      </c>
      <c r="I8" s="7">
        <f>AVERAGE(C8:G8)</f>
        <v>7.8</v>
      </c>
      <c r="J8" s="7">
        <f>AVERAGE(D8:G8)</f>
        <v>4.625</v>
      </c>
    </row>
    <row r="9" spans="2:10" x14ac:dyDescent="0.2">
      <c r="B9" s="5">
        <v>45164</v>
      </c>
      <c r="C9" s="6">
        <v>10.2</v>
      </c>
      <c r="D9" s="6">
        <v>3.1</v>
      </c>
      <c r="E9" s="6">
        <v>1.7</v>
      </c>
      <c r="F9" s="6">
        <v>2.3</v>
      </c>
      <c r="G9" s="6">
        <v>2.5</v>
      </c>
      <c r="H9" s="6">
        <v>1.9</v>
      </c>
      <c r="I9" s="7">
        <f>AVERAGE(C9:G9)</f>
        <v>3.96</v>
      </c>
      <c r="J9" s="7">
        <f>AVERAGE(D9:G9)</f>
        <v>2.4</v>
      </c>
    </row>
    <row r="10" spans="2:10" x14ac:dyDescent="0.2">
      <c r="B10" s="5">
        <v>45192</v>
      </c>
      <c r="C10" s="6">
        <v>14.7</v>
      </c>
      <c r="D10" s="6">
        <v>5.5</v>
      </c>
      <c r="E10" s="6">
        <v>3.4</v>
      </c>
      <c r="F10" s="6">
        <v>4.3</v>
      </c>
      <c r="G10" s="6">
        <v>4.6</v>
      </c>
      <c r="H10" s="6">
        <v>4.5</v>
      </c>
      <c r="I10" s="7">
        <f>AVERAGE(C10:G10)</f>
        <v>6.5</v>
      </c>
      <c r="J10" s="7">
        <f>AVERAGE(D10:G10)</f>
        <v>4.45</v>
      </c>
    </row>
    <row r="11" spans="2:10" x14ac:dyDescent="0.2">
      <c r="B11" s="5">
        <v>45227</v>
      </c>
      <c r="C11" s="6">
        <v>5.8</v>
      </c>
      <c r="D11" s="6">
        <v>4.7</v>
      </c>
      <c r="E11" s="6">
        <v>1.7</v>
      </c>
      <c r="F11" s="6">
        <v>3.6</v>
      </c>
      <c r="G11" s="6">
        <v>4.6</v>
      </c>
      <c r="I11" s="7">
        <f>AVERAGE(C11:G11)</f>
        <v>4.08</v>
      </c>
      <c r="J11" s="7">
        <f>AVERAGE(D11:G11)</f>
        <v>3.65</v>
      </c>
    </row>
    <row r="13" spans="2:10" x14ac:dyDescent="0.2">
      <c r="B13" t="s">
        <v>12</v>
      </c>
      <c r="C13" s="4">
        <f>AVERAGE(C6:C11)</f>
        <v>9.71666666666667</v>
      </c>
      <c r="D13" s="4">
        <f>AVERAGE(D6:D11)</f>
        <v>5.25</v>
      </c>
      <c r="E13" s="4">
        <f>AVERAGE(E6:E11)</f>
        <v>2.55</v>
      </c>
      <c r="F13" s="4">
        <f>AVERAGE(F6:F11)</f>
        <v>2.91666666666667</v>
      </c>
      <c r="G13" s="4">
        <f>AVERAGE(G6:G11)</f>
        <v>3.46666666666667</v>
      </c>
      <c r="I13" s="7">
        <f>AVERAGE(C13:G13)</f>
        <v>4.78</v>
      </c>
      <c r="J13" s="7">
        <f>AVERAGE(D13:H13)</f>
        <v>3.54583333333333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D7605-5551-8140-BEE0-AE513A2DBBF7}">
  <sheetViews>
    <sheetView topLeftCell="A4" zoomScale="200" workbookViewId="0" zoomScaleNormal="200">
      <selection pane="topLeft" activeCell="I13" sqref="I13"/>
    </sheetView>
  </sheetViews>
  <sheetFormatPr baseColWidth="10" defaultRowHeight="16"/>
  <sheetData>
    <row r="2" spans="2:10" x14ac:dyDescent="0.2">
      <c r="C2" t="s">
        <v>30</v>
      </c>
    </row>
    <row r="4" spans="2:10" x14ac:dyDescent="0.2">
      <c r="E4" t="s">
        <v>7</v>
      </c>
    </row>
    <row r="5" spans="2:10" x14ac:dyDescent="0.2">
      <c r="B5" t="s">
        <v>1</v>
      </c>
      <c r="C5" t="s">
        <v>6</v>
      </c>
      <c r="D5" t="s">
        <v>2</v>
      </c>
      <c r="E5" t="s">
        <v>3</v>
      </c>
      <c r="F5" t="s">
        <v>4</v>
      </c>
      <c r="G5" t="s">
        <v>5</v>
      </c>
      <c r="I5" s="1" t="s">
        <v>12</v>
      </c>
      <c r="J5" s="8" t="s">
        <v>23</v>
      </c>
    </row>
    <row r="6" spans="2:10" x14ac:dyDescent="0.2">
      <c r="B6" s="5">
        <v>45437</v>
      </c>
      <c r="C6" s="6">
        <v>7.7</v>
      </c>
      <c r="D6" s="6">
        <v>3.3</v>
      </c>
      <c r="E6" s="6">
        <v>2.6</v>
      </c>
      <c r="F6" s="6">
        <v>2</v>
      </c>
      <c r="G6" s="6">
        <v>2</v>
      </c>
      <c r="I6" s="7">
        <f>AVERAGE(C6:G6)</f>
        <v>3.52</v>
      </c>
      <c r="J6" s="7">
        <f>AVERAGE(D6:G6)</f>
        <v>2.475</v>
      </c>
    </row>
    <row r="7" spans="2:10" x14ac:dyDescent="0.2">
      <c r="B7" s="5">
        <v>45463</v>
      </c>
      <c r="C7" s="6">
        <v>15.2</v>
      </c>
      <c r="D7" s="6">
        <v>1.9</v>
      </c>
      <c r="E7" s="6">
        <v>1.5</v>
      </c>
      <c r="F7" s="6">
        <v>1.3</v>
      </c>
      <c r="G7" s="6">
        <v>1.5</v>
      </c>
      <c r="I7" s="7">
        <f>AVERAGE(C7:G7)</f>
        <v>4.28</v>
      </c>
      <c r="J7" s="7">
        <f>AVERAGE(D7:G7)</f>
        <v>1.55</v>
      </c>
    </row>
    <row r="8" spans="2:10" x14ac:dyDescent="0.2">
      <c r="B8" s="5">
        <v>45497</v>
      </c>
      <c r="C8" s="6">
        <v>15.2</v>
      </c>
      <c r="D8" s="6">
        <v>3.9</v>
      </c>
      <c r="E8" s="6">
        <v>2.3</v>
      </c>
      <c r="F8" s="6">
        <v>3.4</v>
      </c>
      <c r="G8" s="6">
        <v>3.7</v>
      </c>
      <c r="I8" s="7">
        <f>AVERAGE(C8:G8)</f>
        <v>5.7</v>
      </c>
      <c r="J8" s="7">
        <f>AVERAGE(D8:G8)</f>
        <v>3.325</v>
      </c>
    </row>
    <row r="9" spans="2:10" x14ac:dyDescent="0.2">
      <c r="B9" s="5"/>
      <c r="C9" s="6"/>
      <c r="D9" s="6"/>
      <c r="E9" s="6"/>
      <c r="F9" s="6"/>
      <c r="G9" s="6"/>
      <c r="I9" s="7" t="e">
        <f>AVERAGE(C9:G9)</f>
        <v>#DIV/0!</v>
      </c>
      <c r="J9" s="7" t="e">
        <f>AVERAGE(D9:G9)</f>
        <v>#DIV/0!</v>
      </c>
    </row>
    <row r="10" spans="2:10" x14ac:dyDescent="0.2">
      <c r="B10" s="5"/>
      <c r="C10" s="6"/>
      <c r="D10" s="6"/>
      <c r="E10" s="6"/>
      <c r="F10" s="6"/>
      <c r="G10" s="6"/>
      <c r="I10" s="7" t="e">
        <f>AVERAGE(C10:G10)</f>
        <v>#DIV/0!</v>
      </c>
      <c r="J10" s="7" t="e">
        <f>AVERAGE(D10:G10)</f>
        <v>#DIV/0!</v>
      </c>
    </row>
    <row r="11" spans="2:10" x14ac:dyDescent="0.2">
      <c r="B11" s="5"/>
      <c r="C11" s="6"/>
      <c r="D11" s="6"/>
      <c r="E11" s="6"/>
      <c r="F11" s="6"/>
      <c r="G11" s="6"/>
      <c r="I11" s="7" t="e">
        <f>AVERAGE(C11:G11)</f>
        <v>#DIV/0!</v>
      </c>
      <c r="J11" s="7" t="e">
        <f>AVERAGE(D11:G11)</f>
        <v>#DIV/0!</v>
      </c>
    </row>
    <row r="13" spans="2:10" x14ac:dyDescent="0.2">
      <c r="B13" t="s">
        <v>12</v>
      </c>
      <c r="C13" s="4">
        <f>AVERAGE(C6:C11)</f>
        <v>12.7</v>
      </c>
      <c r="D13" s="4">
        <f>AVERAGE(D6:D11)</f>
        <v>3.03333333333333</v>
      </c>
      <c r="E13" s="4">
        <f>AVERAGE(E6:E11)</f>
        <v>2.13333333333333</v>
      </c>
      <c r="F13" s="4">
        <f>AVERAGE(F6:F11)</f>
        <v>2.23333333333333</v>
      </c>
      <c r="G13" s="4">
        <f>AVERAGE(G6:G11)</f>
        <v>2.4</v>
      </c>
      <c r="I13" s="7">
        <f>AVERAGE(C13:G13)</f>
        <v>4.5</v>
      </c>
      <c r="J13" s="7">
        <f>AVERAGE(D13:H13)</f>
        <v>2.45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2AF32-0673-4345-88F0-2D3824019E45}">
  <sheetViews>
    <sheetView topLeftCell="C3" zoomScale="200" workbookViewId="0" zoomScaleNormal="200">
      <selection pane="topLeft" activeCell="K11" sqref="K11"/>
    </sheetView>
  </sheetViews>
  <sheetFormatPr baseColWidth="10" defaultRowHeight="16"/>
  <sheetData>
    <row r="2" spans="2:10" x14ac:dyDescent="0.2">
      <c r="C2" t="s">
        <v>33</v>
      </c>
    </row>
    <row r="4" spans="2:10" x14ac:dyDescent="0.2">
      <c r="E4" t="s">
        <v>7</v>
      </c>
    </row>
    <row r="5" spans="2:10" x14ac:dyDescent="0.2">
      <c r="B5" t="s">
        <v>1</v>
      </c>
      <c r="C5" t="s">
        <v>6</v>
      </c>
      <c r="D5" t="s">
        <v>2</v>
      </c>
      <c r="E5" t="s">
        <v>3</v>
      </c>
      <c r="F5" t="s">
        <v>4</v>
      </c>
      <c r="G5" t="s">
        <v>5</v>
      </c>
      <c r="I5" s="1" t="s">
        <v>12</v>
      </c>
      <c r="J5" s="8" t="s">
        <v>23</v>
      </c>
    </row>
    <row r="6" spans="2:10" x14ac:dyDescent="0.2">
      <c r="B6" s="5" t="s">
        <v>31</v>
      </c>
      <c r="C6" s="6">
        <v>8.2</v>
      </c>
      <c r="D6" s="6">
        <v>4.7</v>
      </c>
      <c r="E6" s="6">
        <v>2.1</v>
      </c>
      <c r="F6" s="6">
        <v>2.4</v>
      </c>
      <c r="G6" s="6">
        <v>2.2</v>
      </c>
      <c r="I6" s="6">
        <f>AVERAGE(C6:G6)</f>
        <v>3.92</v>
      </c>
      <c r="J6" s="6">
        <f>AVERAGE(D6:G6)</f>
        <v>2.85</v>
      </c>
    </row>
    <row r="7" spans="2:10" x14ac:dyDescent="0.2">
      <c r="B7" s="5" t="s">
        <v>32</v>
      </c>
      <c r="C7" s="6">
        <v>8</v>
      </c>
      <c r="D7" s="6">
        <v>3.6</v>
      </c>
      <c r="E7" s="6">
        <v>1.6</v>
      </c>
      <c r="F7" s="6">
        <v>2.1</v>
      </c>
      <c r="G7" s="6">
        <v>2.7</v>
      </c>
      <c r="I7" s="6">
        <f>AVERAGE(C7:G7)</f>
        <v>3.6</v>
      </c>
      <c r="J7" s="6">
        <f>AVERAGE(D7:G7)</f>
        <v>2.5</v>
      </c>
    </row>
    <row r="8" spans="2:10" x14ac:dyDescent="0.2">
      <c r="B8" s="5" t="s">
        <v>34</v>
      </c>
      <c r="C8" s="6">
        <v>7.3</v>
      </c>
      <c r="D8" s="6">
        <v>3.2</v>
      </c>
      <c r="E8" s="6">
        <v>1.7</v>
      </c>
      <c r="F8" s="6">
        <v>2</v>
      </c>
      <c r="G8" s="6">
        <v>2.8</v>
      </c>
      <c r="I8" s="6">
        <f>AVERAGE(C8:G8)</f>
        <v>3.4</v>
      </c>
      <c r="J8" s="6">
        <f>AVERAGE(D8:G8)</f>
        <v>2.425</v>
      </c>
    </row>
    <row r="9" spans="2:10" x14ac:dyDescent="0.2">
      <c r="B9" s="5" t="s">
        <v>35</v>
      </c>
      <c r="C9" s="6">
        <v>8</v>
      </c>
      <c r="D9" s="6">
        <v>5.3</v>
      </c>
      <c r="E9" s="6">
        <v>2.4</v>
      </c>
      <c r="F9" s="6">
        <v>3.3</v>
      </c>
      <c r="G9" s="6">
        <v>4.3</v>
      </c>
      <c r="I9" s="6">
        <f>AVERAGE(C9:G9)</f>
        <v>4.66</v>
      </c>
      <c r="J9" s="6">
        <f>AVERAGE(D9:G9)</f>
        <v>3.825</v>
      </c>
    </row>
    <row r="10" spans="2:10" x14ac:dyDescent="0.2">
      <c r="B10" s="5" t="s">
        <v>37</v>
      </c>
      <c r="C10" s="6">
        <v>4.4</v>
      </c>
      <c r="D10" s="6">
        <v>3.1</v>
      </c>
      <c r="E10" s="6">
        <v>3</v>
      </c>
      <c r="F10" s="6">
        <v>4.3</v>
      </c>
      <c r="G10" s="6">
        <v>7.3</v>
      </c>
      <c r="I10" s="6">
        <f>AVERAGE(C10:G10)</f>
        <v>4.42</v>
      </c>
      <c r="J10" s="6">
        <f>AVERAGE(D10:G10)</f>
        <v>4.425</v>
      </c>
    </row>
    <row r="11" spans="2:10" x14ac:dyDescent="0.2">
      <c r="B11" s="5" t="s">
        <v>36</v>
      </c>
      <c r="C11" s="6">
        <v>6.9</v>
      </c>
      <c r="D11" s="6">
        <v>4.7</v>
      </c>
      <c r="E11" s="6">
        <v>3.5</v>
      </c>
      <c r="F11" s="6">
        <v>2.8</v>
      </c>
      <c r="G11" s="6">
        <v>3.8</v>
      </c>
      <c r="I11" s="6">
        <f>AVERAGE(C11:G11)</f>
        <v>4.34</v>
      </c>
      <c r="J11" s="6">
        <f>AVERAGE(D11:G11)</f>
        <v>3.7</v>
      </c>
    </row>
    <row r="13" spans="2:10" x14ac:dyDescent="0.2">
      <c r="B13" t="s">
        <v>12</v>
      </c>
      <c r="C13" s="4">
        <f>AVERAGE(C6:C11)</f>
        <v>7.13333333333333</v>
      </c>
      <c r="D13" s="4">
        <f>AVERAGE(D6:D11)</f>
        <v>4.1</v>
      </c>
      <c r="E13" s="4">
        <f>AVERAGE(E6:E11)</f>
        <v>2.38333333333333</v>
      </c>
      <c r="F13" s="4">
        <f>AVERAGE(F6:F11)</f>
        <v>2.81666666666667</v>
      </c>
      <c r="G13" s="4">
        <f>AVERAGE(G6:G11)</f>
        <v>3.85</v>
      </c>
      <c r="I13" s="7">
        <f>AVERAGE(C13:G13)</f>
        <v>4.05666666666667</v>
      </c>
      <c r="J13" s="7">
        <f>AVERAGE(D13:H13)</f>
        <v>3.2875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Charts</vt:lpstr>
      </vt:variant>
      <vt:variant>
        <vt:i4>5</vt:i4>
      </vt:variant>
    </vt:vector>
  </HeadingPairs>
  <TitlesOfParts>
    <vt:vector size="16" baseType="lpstr">
      <vt:lpstr>2018</vt:lpstr>
      <vt:lpstr>2019</vt:lpstr>
      <vt:lpstr>2020</vt:lpstr>
      <vt:lpstr>Trend 18-23</vt:lpstr>
      <vt:lpstr>Trend 2018-2025</vt:lpstr>
      <vt:lpstr>2021</vt:lpstr>
      <vt:lpstr>Sheet1</vt:lpstr>
      <vt:lpstr>2022</vt:lpstr>
      <vt:lpstr>2023</vt:lpstr>
      <vt:lpstr>2024</vt:lpstr>
      <vt:lpstr>2025</vt:lpstr>
      <vt:lpstr>2018 graph</vt:lpstr>
      <vt:lpstr>2019 graph</vt:lpstr>
      <vt:lpstr>2020 graph</vt:lpstr>
      <vt:lpstr>2021 Graph</vt:lpstr>
      <vt:lpstr>Lake mean over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Mark Brenner</cp:lastModifiedBy>
  <dcterms:created xsi:type="dcterms:W3CDTF">2018-05-30T13:19:22Z</dcterms:created>
  <dcterms:modified xsi:type="dcterms:W3CDTF">2026-01-02T02:37:47Z</dcterms:modified>
</cp:coreProperties>
</file>
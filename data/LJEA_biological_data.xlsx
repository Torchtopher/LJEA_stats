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10.xml"/>
  <Override ContentType="application/vnd.openxmlformats-officedocument.drawingml.chart+xml" PartName="/xl/charts/chart6.xml"/>
  <Override ContentType="application/vnd.openxmlformats-officedocument.drawingml.chart+xml" PartName="/xl/charts/chart11.xml"/>
  <Override ContentType="application/vnd.openxmlformats-officedocument.drawingml.chart+xml" PartName="/xl/charts/chart7.xml"/>
  <Override ContentType="application/vnd.openxmlformats-officedocument.drawingml.chart+xml" PartName="/xl/charts/chart8.xml"/>
  <Override ContentType="application/vnd.openxmlformats-officedocument.drawingml.chart+xml" PartName="/xl/charts/chart4.xml"/>
  <Override ContentType="application/vnd.openxmlformats-officedocument.drawingml.chart+xml" PartName="/xl/charts/chart9.xml"/>
  <Override ContentType="application/vnd.openxmlformats-officedocument.drawingml.chart+xml" PartName="/xl/charts/chart5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mparison Data" sheetId="1" r:id="rId4"/>
    <sheet state="visible" name="Year by Year Data" sheetId="2" r:id="rId5"/>
    <sheet state="visible" name="Charts" sheetId="3" r:id="rId6"/>
    <sheet state="visible" name="Chart Calculations" sheetId="4" r:id="rId7"/>
  </sheets>
  <definedNames/>
  <calcPr/>
  <extLst>
    <ext uri="GoogleSheetsCustomDataVersion2">
      <go:sheetsCustomData xmlns:go="http://customooxmlschemas.google.com/" r:id="rId8" roundtripDataChecksum="tpvroXNBZAT2ltpdUlkAza6Ks7RcMeqKrZXtf2vfg7g="/>
    </ext>
  </extLst>
</workbook>
</file>

<file path=xl/sharedStrings.xml><?xml version="1.0" encoding="utf-8"?>
<sst xmlns="http://schemas.openxmlformats.org/spreadsheetml/2006/main" count="1185" uniqueCount="119">
  <si>
    <t>Fall 2018</t>
  </si>
  <si>
    <t>Stream Name</t>
  </si>
  <si>
    <t>White Cr</t>
  </si>
  <si>
    <t>Paddy's Cr</t>
  </si>
  <si>
    <t>North Fork Cat. R</t>
  </si>
  <si>
    <t>Catawba</t>
  </si>
  <si>
    <t>Mill Cr</t>
  </si>
  <si>
    <t>Crooked Cr</t>
  </si>
  <si>
    <t>Linville R.</t>
  </si>
  <si>
    <t>Armstrong Cr</t>
  </si>
  <si>
    <t>Forsyth Creek</t>
  </si>
  <si>
    <t>Mackey Creek</t>
  </si>
  <si>
    <t>Dales Creek</t>
  </si>
  <si>
    <t>Crooked Creek</t>
  </si>
  <si>
    <t>Catawba River</t>
  </si>
  <si>
    <t>Mill Creek</t>
  </si>
  <si>
    <t>Curtis Creek</t>
  </si>
  <si>
    <t>Buck Creek</t>
  </si>
  <si>
    <t>Old Catawba River</t>
  </si>
  <si>
    <t>Linville River</t>
  </si>
  <si>
    <t>Site Location</t>
  </si>
  <si>
    <t>Above Rt 126</t>
  </si>
  <si>
    <t>State Park</t>
  </si>
  <si>
    <t>American Thread Rd</t>
  </si>
  <si>
    <t>N Cove School Rd</t>
  </si>
  <si>
    <t>Parker Padgett Rd</t>
  </si>
  <si>
    <t>Near Old Fort</t>
  </si>
  <si>
    <t>McHone Dr</t>
  </si>
  <si>
    <t>Newland Hwy</t>
  </si>
  <si>
    <t>Hwy 221 - Pineola</t>
  </si>
  <si>
    <t>Above Hwy 221</t>
  </si>
  <si>
    <t>Plantation Dr</t>
  </si>
  <si>
    <t>Burnette Rd</t>
  </si>
  <si>
    <t>Lake James Rd</t>
  </si>
  <si>
    <t>Batcave Rd Park</t>
  </si>
  <si>
    <t>Old Fort Ball Park</t>
  </si>
  <si>
    <t>Parker Padgett Bridge</t>
  </si>
  <si>
    <t>Andrew's Geyser</t>
  </si>
  <si>
    <t>Curtis Creek Rd</t>
  </si>
  <si>
    <t>Above Lake Tahoma</t>
  </si>
  <si>
    <t>Greenlee Park</t>
  </si>
  <si>
    <t>Cat. Run Upper</t>
  </si>
  <si>
    <t>Cat. Run Lower</t>
  </si>
  <si>
    <t>Griffin Cottage</t>
  </si>
  <si>
    <t>Total Taxa Richness</t>
  </si>
  <si>
    <t>EPT Taxa Richness</t>
  </si>
  <si>
    <t>Total Abundance</t>
  </si>
  <si>
    <t>EPT Abundance</t>
  </si>
  <si>
    <t>Intolerant Species (&lt; 2.5 Tolerance Value)</t>
  </si>
  <si>
    <t>Percent EPT</t>
  </si>
  <si>
    <t>NCBI Score</t>
  </si>
  <si>
    <t>Theoretical Bioclassification</t>
  </si>
  <si>
    <t>Fair</t>
  </si>
  <si>
    <t>Good - Fair</t>
  </si>
  <si>
    <t>Poor</t>
  </si>
  <si>
    <t>EPT Criteria NCSOP 2016</t>
  </si>
  <si>
    <t>Summer 2019*</t>
  </si>
  <si>
    <t>Total Family Richness</t>
  </si>
  <si>
    <t>EPT Family Richness</t>
  </si>
  <si>
    <t>Good-Fair</t>
  </si>
  <si>
    <t>*All indicies only to Family level</t>
  </si>
  <si>
    <t>Summer 2020</t>
  </si>
  <si>
    <t>White Creek</t>
  </si>
  <si>
    <t>Paddy's Creek</t>
  </si>
  <si>
    <t>North Fork Cat R</t>
  </si>
  <si>
    <t>NF Catawba River</t>
  </si>
  <si>
    <t>Location</t>
  </si>
  <si>
    <t>LJ State Park</t>
  </si>
  <si>
    <t>Old NF School Rd</t>
  </si>
  <si>
    <t xml:space="preserve">Greenlee Pk </t>
  </si>
  <si>
    <t>McHone Drive</t>
  </si>
  <si>
    <t>221 Near Pineola</t>
  </si>
  <si>
    <t>Above 221</t>
  </si>
  <si>
    <t>Off Hwy 70</t>
  </si>
  <si>
    <t>Good</t>
  </si>
  <si>
    <t>Winter 2021</t>
  </si>
  <si>
    <t>Paddy Creek</t>
  </si>
  <si>
    <t>NF Catawba</t>
  </si>
  <si>
    <t>Armstrong Creek</t>
  </si>
  <si>
    <t>Off 126</t>
  </si>
  <si>
    <t>LJSP</t>
  </si>
  <si>
    <t>Old Fort</t>
  </si>
  <si>
    <t>US 221</t>
  </si>
  <si>
    <t>Summer 2022</t>
  </si>
  <si>
    <t>Trail Off 126</t>
  </si>
  <si>
    <t>OMV Trail off Bridge</t>
  </si>
  <si>
    <t>N. Cove Schl Rd</t>
  </si>
  <si>
    <t xml:space="preserve">Old Fort </t>
  </si>
  <si>
    <t>BRP Picnic Area</t>
  </si>
  <si>
    <t>221S Bridge</t>
  </si>
  <si>
    <t>Summer 2023</t>
  </si>
  <si>
    <t>Station Number</t>
  </si>
  <si>
    <t>NCBI</t>
  </si>
  <si>
    <t>Summer 2024</t>
  </si>
  <si>
    <t>Summer 2025</t>
  </si>
  <si>
    <t>White Creek - Above Route 126</t>
  </si>
  <si>
    <t>Summer 2019</t>
  </si>
  <si>
    <t>Paddy's Creek - OMV Trail</t>
  </si>
  <si>
    <t>North Fork Catawba River - American Thread Rd</t>
  </si>
  <si>
    <t>North Fork Catawba River - North Cove School Rd</t>
  </si>
  <si>
    <t>Catawba River - Parker Padgett Rd</t>
  </si>
  <si>
    <t>Mill Creek - Old Fort</t>
  </si>
  <si>
    <t>Crooked Creek - McHone Dr</t>
  </si>
  <si>
    <t>Linville River - Newland Highway</t>
  </si>
  <si>
    <t>Linville River - Highway 221 Near Pineola</t>
  </si>
  <si>
    <t>Linville River - Blue Ridge Picnic Area</t>
  </si>
  <si>
    <t>Armstrong Creek - Hwy 221</t>
  </si>
  <si>
    <t>Forsyth Creek - Plantation Drive</t>
  </si>
  <si>
    <t>Mackey Creek - Burnette Rd</t>
  </si>
  <si>
    <t>Dale's Creek - Lake James Road</t>
  </si>
  <si>
    <t>Crooked Creek - Bat Cave Road</t>
  </si>
  <si>
    <t>Catawba River - Old Fort Ball Park</t>
  </si>
  <si>
    <t>Mill Creek - Andrew's Geyser</t>
  </si>
  <si>
    <t>Curtis Creek - Curtis Creek Rd</t>
  </si>
  <si>
    <t>Buck Creek - Off US 70</t>
  </si>
  <si>
    <t>Buck Creek - Greenlee Park</t>
  </si>
  <si>
    <t>Linville River - Griffin Cottage</t>
  </si>
  <si>
    <t>Excellent</t>
  </si>
  <si>
    <t xml:space="preserve">Fair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</si>
</sst>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0.0%"/>
    <numFmt numFmtId="165" formatCode="0.0"/>
    <numFmt numFmtId="166" formatCode="m\ d"/>
  </numFmts>
  <fonts count="12">
    <font>
      <sz val="10.0"/>
      <color rgb="FF000000"/>
      <name val="Arial"/>
      <scheme val="minor"/>
    </font>
    <font>
      <b/>
      <sz val="18.0"/>
      <color rgb="FF000000"/>
      <name val="Calibri"/>
    </font>
    <font/>
    <font>
      <b/>
      <sz val="10.0"/>
      <color rgb="FF000000"/>
      <name val="Arial"/>
    </font>
    <font>
      <b/>
      <sz val="11.0"/>
      <color theme="1"/>
      <name val="Arial"/>
    </font>
    <font>
      <b/>
      <sz val="10.0"/>
      <color theme="1"/>
      <name val="Arial"/>
    </font>
    <font>
      <sz val="10.0"/>
      <color theme="1"/>
      <name val="Arial"/>
    </font>
    <font>
      <sz val="11.0"/>
      <color theme="1"/>
      <name val="Arial"/>
    </font>
    <font>
      <sz val="9.0"/>
      <color theme="1"/>
      <name val="Arial"/>
    </font>
    <font>
      <b/>
      <sz val="18.0"/>
      <color theme="1"/>
      <name val="Calibri"/>
    </font>
    <font>
      <b/>
      <sz val="10.0"/>
      <color theme="1"/>
      <name val="Calibri"/>
    </font>
    <font>
      <b/>
      <sz val="12.0"/>
      <color theme="1"/>
      <name val="Arial"/>
    </font>
  </fonts>
  <fills count="8">
    <fill>
      <patternFill patternType="none"/>
    </fill>
    <fill>
      <patternFill patternType="lightGray"/>
    </fill>
    <fill>
      <patternFill patternType="solid">
        <fgColor rgb="FF999999"/>
        <bgColor rgb="FF999999"/>
      </patternFill>
    </fill>
    <fill>
      <patternFill patternType="solid">
        <fgColor rgb="FFFFFFFF"/>
        <bgColor rgb="FFFFFFFF"/>
      </patternFill>
    </fill>
    <fill>
      <patternFill patternType="solid">
        <fgColor rgb="FFB6D7A8"/>
        <bgColor rgb="FFB6D7A8"/>
      </patternFill>
    </fill>
    <fill>
      <patternFill patternType="solid">
        <fgColor rgb="FFFFD966"/>
        <bgColor rgb="FFFFD966"/>
      </patternFill>
    </fill>
    <fill>
      <patternFill patternType="solid">
        <fgColor rgb="FFA4C2F4"/>
        <bgColor rgb="FFA4C2F4"/>
      </patternFill>
    </fill>
    <fill>
      <patternFill patternType="solid">
        <fgColor rgb="FFB7B7B7"/>
        <bgColor rgb="FFB7B7B7"/>
      </patternFill>
    </fill>
  </fills>
  <borders count="18">
    <border/>
    <border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top/>
    </border>
    <border>
      <left/>
      <right/>
      <top/>
      <bottom/>
    </border>
    <border>
      <right style="thick">
        <color rgb="FF000000"/>
      </right>
      <bottom style="thin">
        <color rgb="FF000000"/>
      </bottom>
    </border>
    <border>
      <left style="thin">
        <color rgb="FF000000"/>
      </left>
      <right style="thick">
        <color rgb="FF000000"/>
      </right>
    </border>
    <border>
      <left/>
      <right style="thin">
        <color rgb="FF000000"/>
      </right>
      <top/>
    </border>
    <border>
      <left style="thin">
        <color rgb="FF000000"/>
      </left>
      <right style="thick">
        <color rgb="FF000000"/>
      </right>
      <bottom style="thin">
        <color rgb="FF000000"/>
      </bottom>
    </border>
    <border>
      <left/>
      <right style="thin">
        <color rgb="FF000000"/>
      </right>
      <bottom style="thin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</border>
    <border>
      <right style="thin">
        <color rgb="FF000000"/>
      </right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86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shrinkToFit="0" vertical="bottom" wrapText="0"/>
    </xf>
    <xf borderId="1" fillId="0" fontId="2" numFmtId="0" xfId="0" applyBorder="1" applyFont="1"/>
    <xf borderId="2" fillId="0" fontId="3" numFmtId="0" xfId="0" applyAlignment="1" applyBorder="1" applyFont="1">
      <alignment horizontal="right" shrinkToFit="0" vertical="bottom" wrapText="0"/>
    </xf>
    <xf borderId="2" fillId="0" fontId="4" numFmtId="0" xfId="0" applyAlignment="1" applyBorder="1" applyFont="1">
      <alignment horizontal="center" shrinkToFit="0" vertical="bottom" wrapText="0"/>
    </xf>
    <xf borderId="3" fillId="2" fontId="4" numFmtId="0" xfId="0" applyAlignment="1" applyBorder="1" applyFill="1" applyFont="1">
      <alignment horizontal="center" shrinkToFit="0" vertical="bottom" wrapText="0"/>
    </xf>
    <xf borderId="3" fillId="3" fontId="5" numFmtId="0" xfId="0" applyAlignment="1" applyBorder="1" applyFill="1" applyFont="1">
      <alignment horizontal="right" shrinkToFit="0" vertical="bottom" wrapText="0"/>
    </xf>
    <xf borderId="3" fillId="0" fontId="4" numFmtId="0" xfId="0" applyAlignment="1" applyBorder="1" applyFont="1">
      <alignment horizontal="center" shrinkToFit="0" vertical="bottom" wrapText="0"/>
    </xf>
    <xf borderId="3" fillId="0" fontId="6" numFmtId="0" xfId="0" applyAlignment="1" applyBorder="1" applyFont="1">
      <alignment horizontal="right" shrinkToFit="0" vertical="bottom" wrapText="0"/>
    </xf>
    <xf borderId="3" fillId="0" fontId="7" numFmtId="0" xfId="0" applyAlignment="1" applyBorder="1" applyFont="1">
      <alignment horizontal="center" shrinkToFit="0" vertical="bottom" wrapText="0"/>
    </xf>
    <xf borderId="3" fillId="2" fontId="7" numFmtId="0" xfId="0" applyAlignment="1" applyBorder="1" applyFont="1">
      <alignment horizontal="center" shrinkToFit="0" vertical="bottom" wrapText="0"/>
    </xf>
    <xf borderId="3" fillId="2" fontId="7" numFmtId="0" xfId="0" applyAlignment="1" applyBorder="1" applyFont="1">
      <alignment shrinkToFit="0" vertical="bottom" wrapText="0"/>
    </xf>
    <xf borderId="3" fillId="4" fontId="5" numFmtId="0" xfId="0" applyAlignment="1" applyBorder="1" applyFill="1" applyFont="1">
      <alignment horizontal="right" shrinkToFit="0" vertical="bottom" wrapText="1"/>
    </xf>
    <xf borderId="3" fillId="0" fontId="7" numFmtId="0" xfId="0" applyAlignment="1" applyBorder="1" applyFont="1">
      <alignment horizontal="center" shrinkToFit="0" vertical="center" wrapText="0"/>
    </xf>
    <xf borderId="3" fillId="2" fontId="7" numFmtId="164" xfId="0" applyAlignment="1" applyBorder="1" applyFont="1" applyNumberFormat="1">
      <alignment horizontal="center" shrinkToFit="0" vertical="bottom" wrapText="0"/>
    </xf>
    <xf borderId="3" fillId="0" fontId="6" numFmtId="2" xfId="0" applyAlignment="1" applyBorder="1" applyFont="1" applyNumberFormat="1">
      <alignment horizontal="right" shrinkToFit="0" vertical="bottom" wrapText="0"/>
    </xf>
    <xf borderId="3" fillId="0" fontId="7" numFmtId="164" xfId="0" applyAlignment="1" applyBorder="1" applyFont="1" applyNumberFormat="1">
      <alignment horizontal="center" shrinkToFit="0" vertical="bottom" wrapText="0"/>
    </xf>
    <xf borderId="3" fillId="2" fontId="7" numFmtId="0" xfId="0" applyAlignment="1" applyBorder="1" applyFont="1">
      <alignment horizontal="center" shrinkToFit="0" vertical="center" wrapText="0"/>
    </xf>
    <xf borderId="3" fillId="0" fontId="7" numFmtId="165" xfId="0" applyAlignment="1" applyBorder="1" applyFont="1" applyNumberFormat="1">
      <alignment horizontal="center" shrinkToFit="0" vertical="bottom" wrapText="0"/>
    </xf>
    <xf borderId="3" fillId="2" fontId="7" numFmtId="165" xfId="0" applyAlignment="1" applyBorder="1" applyFont="1" applyNumberFormat="1">
      <alignment horizontal="center" shrinkToFit="0" vertical="bottom" wrapText="0"/>
    </xf>
    <xf borderId="3" fillId="0" fontId="6" numFmtId="0" xfId="0" applyAlignment="1" applyBorder="1" applyFont="1">
      <alignment shrinkToFit="0" vertical="bottom" wrapText="0"/>
    </xf>
    <xf borderId="0" fillId="0" fontId="8" numFmtId="0" xfId="0" applyAlignment="1" applyFont="1">
      <alignment shrinkToFit="0" vertical="bottom" wrapText="0"/>
    </xf>
    <xf borderId="0" fillId="0" fontId="9" numFmtId="0" xfId="0" applyAlignment="1" applyFont="1">
      <alignment horizontal="center" shrinkToFit="0" vertical="bottom" wrapText="0"/>
    </xf>
    <xf borderId="3" fillId="0" fontId="4" numFmtId="0" xfId="0" applyAlignment="1" applyBorder="1" applyFont="1">
      <alignment horizontal="right" shrinkToFit="0" vertical="bottom" wrapText="0"/>
    </xf>
    <xf borderId="4" fillId="2" fontId="4" numFmtId="0" xfId="0" applyAlignment="1" applyBorder="1" applyFont="1">
      <alignment horizontal="center" shrinkToFit="0" vertical="bottom" wrapText="0"/>
    </xf>
    <xf borderId="3" fillId="0" fontId="7" numFmtId="0" xfId="0" applyAlignment="1" applyBorder="1" applyFont="1">
      <alignment horizontal="right" shrinkToFit="0" vertical="bottom" wrapText="0"/>
    </xf>
    <xf borderId="4" fillId="2" fontId="7" numFmtId="0" xfId="0" applyAlignment="1" applyBorder="1" applyFont="1">
      <alignment horizontal="center" shrinkToFit="0" vertical="bottom" wrapText="0"/>
    </xf>
    <xf borderId="3" fillId="2" fontId="7" numFmtId="10" xfId="0" applyAlignment="1" applyBorder="1" applyFont="1" applyNumberFormat="1">
      <alignment shrinkToFit="0" vertical="bottom" wrapText="0"/>
    </xf>
    <xf borderId="4" fillId="2" fontId="7" numFmtId="164" xfId="0" applyAlignment="1" applyBorder="1" applyFont="1" applyNumberFormat="1">
      <alignment horizontal="center" shrinkToFit="0" vertical="bottom" wrapText="0"/>
    </xf>
    <xf borderId="3" fillId="0" fontId="7" numFmtId="10" xfId="0" applyAlignment="1" applyBorder="1" applyFont="1" applyNumberFormat="1">
      <alignment horizontal="center" shrinkToFit="0" vertical="center" wrapText="0"/>
    </xf>
    <xf borderId="3" fillId="4" fontId="10" numFmtId="0" xfId="0" applyAlignment="1" applyBorder="1" applyFont="1">
      <alignment horizontal="right" shrinkToFit="0" vertical="bottom" wrapText="1"/>
    </xf>
    <xf borderId="4" fillId="2" fontId="7" numFmtId="0" xfId="0" applyAlignment="1" applyBorder="1" applyFont="1">
      <alignment horizontal="center" shrinkToFit="0" vertical="center" wrapText="0"/>
    </xf>
    <xf borderId="3" fillId="2" fontId="7" numFmtId="165" xfId="0" applyAlignment="1" applyBorder="1" applyFont="1" applyNumberFormat="1">
      <alignment shrinkToFit="0" vertical="bottom" wrapText="0"/>
    </xf>
    <xf borderId="4" fillId="2" fontId="7" numFmtId="165" xfId="0" applyAlignment="1" applyBorder="1" applyFont="1" applyNumberFormat="1">
      <alignment horizontal="center" shrinkToFit="0" vertical="bottom" wrapText="0"/>
    </xf>
    <xf borderId="3" fillId="0" fontId="7" numFmtId="0" xfId="0" applyAlignment="1" applyBorder="1" applyFont="1">
      <alignment shrinkToFit="0" vertical="bottom" wrapText="0"/>
    </xf>
    <xf borderId="3" fillId="0" fontId="7" numFmtId="10" xfId="0" applyAlignment="1" applyBorder="1" applyFont="1" applyNumberFormat="1">
      <alignment horizontal="center" shrinkToFit="0" vertical="bottom" wrapText="0"/>
    </xf>
    <xf borderId="3" fillId="0" fontId="7" numFmtId="2" xfId="0" applyAlignment="1" applyBorder="1" applyFont="1" applyNumberFormat="1">
      <alignment horizontal="center" shrinkToFit="0" vertical="bottom" wrapText="0"/>
    </xf>
    <xf borderId="3" fillId="0" fontId="7" numFmtId="10" xfId="0" applyAlignment="1" applyBorder="1" applyFont="1" applyNumberFormat="1">
      <alignment shrinkToFit="0" vertical="bottom" wrapText="0"/>
    </xf>
    <xf borderId="3" fillId="4" fontId="4" numFmtId="0" xfId="0" applyAlignment="1" applyBorder="1" applyFont="1">
      <alignment horizontal="right" shrinkToFit="0" vertical="bottom" wrapText="1"/>
    </xf>
    <xf borderId="0" fillId="0" fontId="7" numFmtId="166" xfId="0" applyAlignment="1" applyFont="1" applyNumberFormat="1">
      <alignment shrinkToFit="0" vertical="bottom" wrapText="0"/>
    </xf>
    <xf borderId="0" fillId="0" fontId="7" numFmtId="164" xfId="0" applyAlignment="1" applyFont="1" applyNumberFormat="1">
      <alignment shrinkToFit="0" vertical="bottom" wrapText="0"/>
    </xf>
    <xf borderId="1" fillId="0" fontId="11" numFmtId="0" xfId="0" applyAlignment="1" applyBorder="1" applyFont="1">
      <alignment horizontal="center" shrinkToFit="0" vertical="bottom" wrapText="0"/>
    </xf>
    <xf borderId="5" fillId="0" fontId="4" numFmtId="0" xfId="0" applyAlignment="1" applyBorder="1" applyFont="1">
      <alignment horizontal="center" shrinkToFit="0" vertical="center" wrapText="0"/>
    </xf>
    <xf borderId="6" fillId="2" fontId="4" numFmtId="0" xfId="0" applyAlignment="1" applyBorder="1" applyFont="1">
      <alignment horizontal="center" shrinkToFit="0" vertical="center" wrapText="0"/>
    </xf>
    <xf borderId="6" fillId="5" fontId="4" numFmtId="0" xfId="0" applyAlignment="1" applyBorder="1" applyFill="1" applyFont="1">
      <alignment horizontal="center" shrinkToFit="0" vertical="center" wrapText="0"/>
    </xf>
    <xf borderId="2" fillId="0" fontId="2" numFmtId="0" xfId="0" applyBorder="1" applyFont="1"/>
    <xf borderId="3" fillId="2" fontId="7" numFmtId="0" xfId="0" applyAlignment="1" applyBorder="1" applyFont="1">
      <alignment shrinkToFit="0" vertical="center" wrapText="0"/>
    </xf>
    <xf borderId="3" fillId="2" fontId="7" numFmtId="2" xfId="0" applyAlignment="1" applyBorder="1" applyFont="1" applyNumberFormat="1">
      <alignment shrinkToFit="0" vertical="bottom" wrapText="0"/>
    </xf>
    <xf borderId="0" fillId="0" fontId="7" numFmtId="164" xfId="0" applyAlignment="1" applyFont="1" applyNumberFormat="1">
      <alignment horizontal="center" shrinkToFit="0" vertical="bottom" wrapText="0"/>
    </xf>
    <xf borderId="0" fillId="0" fontId="7" numFmtId="0" xfId="0" applyAlignment="1" applyFont="1">
      <alignment horizontal="center" shrinkToFit="0" vertical="center" wrapText="0"/>
    </xf>
    <xf borderId="3" fillId="2" fontId="7" numFmtId="2" xfId="0" applyAlignment="1" applyBorder="1" applyFont="1" applyNumberFormat="1">
      <alignment horizontal="center" shrinkToFit="0" vertical="bottom" wrapText="0"/>
    </xf>
    <xf borderId="6" fillId="6" fontId="4" numFmtId="0" xfId="0" applyAlignment="1" applyBorder="1" applyFill="1" applyFont="1">
      <alignment horizontal="center" shrinkToFit="0" vertical="center" wrapText="0"/>
    </xf>
    <xf borderId="7" fillId="2" fontId="7" numFmtId="0" xfId="0" applyAlignment="1" applyBorder="1" applyFont="1">
      <alignment horizontal="center" shrinkToFit="0" vertical="center" wrapText="0"/>
    </xf>
    <xf borderId="6" fillId="4" fontId="4" numFmtId="0" xfId="0" applyAlignment="1" applyBorder="1" applyFont="1">
      <alignment horizontal="center" shrinkToFit="0" vertical="center" wrapText="0"/>
    </xf>
    <xf borderId="3" fillId="2" fontId="7" numFmtId="164" xfId="0" applyAlignment="1" applyBorder="1" applyFont="1" applyNumberFormat="1">
      <alignment horizontal="center" shrinkToFit="0" vertical="center" wrapText="0"/>
    </xf>
    <xf borderId="8" fillId="0" fontId="2" numFmtId="0" xfId="0" applyBorder="1" applyFont="1"/>
    <xf borderId="9" fillId="0" fontId="4" numFmtId="0" xfId="0" applyAlignment="1" applyBorder="1" applyFont="1">
      <alignment horizontal="center" shrinkToFit="0" vertical="center" wrapText="0"/>
    </xf>
    <xf borderId="10" fillId="2" fontId="4" numFmtId="0" xfId="0" applyAlignment="1" applyBorder="1" applyFont="1">
      <alignment horizontal="center" shrinkToFit="0" vertical="center" wrapText="0"/>
    </xf>
    <xf borderId="11" fillId="0" fontId="2" numFmtId="0" xfId="0" applyBorder="1" applyFont="1"/>
    <xf borderId="12" fillId="0" fontId="2" numFmtId="0" xfId="0" applyBorder="1" applyFont="1"/>
    <xf borderId="13" fillId="0" fontId="7" numFmtId="0" xfId="0" applyAlignment="1" applyBorder="1" applyFont="1">
      <alignment horizontal="center" shrinkToFit="0" vertical="bottom" wrapText="0"/>
    </xf>
    <xf borderId="14" fillId="2" fontId="7" numFmtId="0" xfId="0" applyAlignment="1" applyBorder="1" applyFont="1">
      <alignment horizontal="center" shrinkToFit="0" vertical="bottom" wrapText="0"/>
    </xf>
    <xf borderId="13" fillId="0" fontId="7" numFmtId="164" xfId="0" applyAlignment="1" applyBorder="1" applyFont="1" applyNumberFormat="1">
      <alignment horizontal="center" shrinkToFit="0" vertical="bottom" wrapText="0"/>
    </xf>
    <xf borderId="14" fillId="2" fontId="7" numFmtId="0" xfId="0" applyAlignment="1" applyBorder="1" applyFont="1">
      <alignment horizontal="center" shrinkToFit="0" vertical="center" wrapText="0"/>
    </xf>
    <xf borderId="13" fillId="0" fontId="7" numFmtId="0" xfId="0" applyAlignment="1" applyBorder="1" applyFont="1">
      <alignment horizontal="center" shrinkToFit="0" vertical="center" wrapText="0"/>
    </xf>
    <xf borderId="14" fillId="2" fontId="7" numFmtId="164" xfId="0" applyAlignment="1" applyBorder="1" applyFont="1" applyNumberFormat="1">
      <alignment horizontal="center" shrinkToFit="0" vertical="bottom" wrapText="0"/>
    </xf>
    <xf borderId="13" fillId="0" fontId="7" numFmtId="2" xfId="0" applyAlignment="1" applyBorder="1" applyFont="1" applyNumberFormat="1">
      <alignment horizontal="center" shrinkToFit="0" vertical="bottom" wrapText="0"/>
    </xf>
    <xf borderId="14" fillId="2" fontId="7" numFmtId="2" xfId="0" applyAlignment="1" applyBorder="1" applyFont="1" applyNumberFormat="1">
      <alignment horizontal="center" shrinkToFit="0" vertical="bottom" wrapText="0"/>
    </xf>
    <xf borderId="3" fillId="0" fontId="7" numFmtId="164" xfId="0" applyAlignment="1" applyBorder="1" applyFont="1" applyNumberFormat="1">
      <alignment horizontal="center" shrinkToFit="0" vertical="center" wrapText="0"/>
    </xf>
    <xf borderId="3" fillId="2" fontId="7" numFmtId="10" xfId="0" applyAlignment="1" applyBorder="1" applyFont="1" applyNumberFormat="1">
      <alignment horizontal="center" shrinkToFit="0" vertical="center" wrapText="0"/>
    </xf>
    <xf borderId="15" fillId="0" fontId="4" numFmtId="0" xfId="0" applyAlignment="1" applyBorder="1" applyFont="1">
      <alignment horizontal="center" shrinkToFit="0" vertical="center" wrapText="0"/>
    </xf>
    <xf borderId="16" fillId="0" fontId="2" numFmtId="0" xfId="0" applyBorder="1" applyFont="1"/>
    <xf borderId="17" fillId="0" fontId="7" numFmtId="0" xfId="0" applyAlignment="1" applyBorder="1" applyFont="1">
      <alignment horizontal="center" shrinkToFit="0" vertical="bottom" wrapText="0"/>
    </xf>
    <xf borderId="13" fillId="0" fontId="7" numFmtId="10" xfId="0" applyAlignment="1" applyBorder="1" applyFont="1" applyNumberFormat="1">
      <alignment horizontal="center" shrinkToFit="0" vertical="bottom" wrapText="0"/>
    </xf>
    <xf borderId="17" fillId="0" fontId="7" numFmtId="10" xfId="0" applyAlignment="1" applyBorder="1" applyFont="1" applyNumberFormat="1">
      <alignment horizontal="center" shrinkToFit="0" vertical="bottom" wrapText="0"/>
    </xf>
    <xf borderId="17" fillId="0" fontId="7" numFmtId="0" xfId="0" applyAlignment="1" applyBorder="1" applyFont="1">
      <alignment horizontal="center" shrinkToFit="0" vertical="center" wrapText="0"/>
    </xf>
    <xf borderId="3" fillId="7" fontId="4" numFmtId="0" xfId="0" applyAlignment="1" applyBorder="1" applyFill="1" applyFont="1">
      <alignment horizontal="center" shrinkToFit="0" vertical="bottom" wrapText="0"/>
    </xf>
    <xf borderId="3" fillId="7" fontId="7" numFmtId="0" xfId="0" applyAlignment="1" applyBorder="1" applyFont="1">
      <alignment horizontal="center" shrinkToFit="0" vertical="bottom" wrapText="0"/>
    </xf>
    <xf borderId="3" fillId="7" fontId="7" numFmtId="164" xfId="0" applyAlignment="1" applyBorder="1" applyFont="1" applyNumberFormat="1">
      <alignment horizontal="center" shrinkToFit="0" vertical="bottom" wrapText="0"/>
    </xf>
    <xf borderId="3" fillId="7" fontId="7" numFmtId="0" xfId="0" applyAlignment="1" applyBorder="1" applyFont="1">
      <alignment horizontal="center" shrinkToFit="0" vertical="center" wrapText="0"/>
    </xf>
    <xf borderId="3" fillId="7" fontId="7" numFmtId="165" xfId="0" applyAlignment="1" applyBorder="1" applyFont="1" applyNumberFormat="1">
      <alignment horizontal="center" shrinkToFit="0" vertical="bottom" wrapText="0"/>
    </xf>
    <xf borderId="3" fillId="7" fontId="7" numFmtId="0" xfId="0" applyAlignment="1" applyBorder="1" applyFont="1">
      <alignment shrinkToFit="0" vertical="bottom" wrapText="0"/>
    </xf>
    <xf borderId="3" fillId="7" fontId="7" numFmtId="10" xfId="0" applyAlignment="1" applyBorder="1" applyFont="1" applyNumberFormat="1">
      <alignment shrinkToFit="0" vertical="bottom" wrapText="0"/>
    </xf>
    <xf borderId="3" fillId="7" fontId="7" numFmtId="165" xfId="0" applyAlignment="1" applyBorder="1" applyFont="1" applyNumberFormat="1">
      <alignment shrinkToFit="0" vertical="bottom" wrapText="0"/>
    </xf>
    <xf borderId="0" fillId="0" fontId="7" numFmtId="10" xfId="0" applyAlignment="1" applyFont="1" applyNumberFormat="1">
      <alignment shrinkToFit="0" vertical="bottom" wrapText="0"/>
    </xf>
    <xf borderId="0" fillId="0" fontId="7" numFmtId="0" xfId="0" applyAlignment="1" applyFon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800">
                <a:solidFill>
                  <a:srgbClr val="757575"/>
                </a:solidFill>
                <a:latin typeface="Arial"/>
              </a:defRPr>
            </a:pPr>
            <a:r>
              <a:rPr b="1" i="0" sz="1800">
                <a:solidFill>
                  <a:srgbClr val="757575"/>
                </a:solidFill>
                <a:latin typeface="Arial"/>
              </a:rPr>
              <a:t>White Creek Biological Assessment Metrics Trends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v>2018</c:v>
          </c:tx>
          <c:spPr>
            <a:solidFill>
              <a:srgbClr val="4285F4"/>
            </a:solidFill>
            <a:ln cmpd="sng">
              <a:solidFill>
                <a:srgbClr val="000000"/>
              </a:solidFill>
            </a:ln>
          </c:spPr>
          <c:dPt>
            <c:idx val="5"/>
            <c:spPr>
              <a:solidFill>
                <a:srgbClr val="4285F4"/>
              </a:solidFill>
              <a:ln cmpd="sng">
                <a:solidFill>
                  <a:srgbClr val="000000"/>
                </a:solidFill>
              </a:ln>
            </c:spPr>
          </c:dPt>
          <c:dLbls>
            <c:dLbl>
              <c:idx val="5"/>
              <c:tx>
                <c:rich>
                  <a:bodyPr/>
                  <a:lstStyle/>
                  <a:p>
                    <a:pPr lvl="0">
                      <a:defRPr b="0" i="0" sz="1000">
                        <a:solidFill>
                          <a:srgbClr val="000000"/>
                        </a:solidFill>
                        <a:latin typeface="Roboto"/>
                      </a:defRPr>
                    </a:pPr>
                    <a:r>
                      <a:rPr b="0" i="0" sz="1000">
                        <a:solidFill>
                          <a:srgbClr val="000000"/>
                        </a:solidFill>
                        <a:latin typeface="Roboto"/>
                      </a:rPr>
                      <a:t>1.8</a:t>
                    </a:r>
                  </a:p>
                </c:rich>
              </c:tx>
              <c:numFmt formatCode="General" sourceLinked="1"/>
              <c:txPr>
                <a:bodyPr/>
                <a:lstStyle/>
                <a:p>
                  <a:pPr lvl="0">
                    <a:defRPr b="0" i="0" sz="1000">
                      <a:solidFill>
                        <a:srgbClr val="000000"/>
                      </a:solidFill>
                      <a:latin typeface="Arial"/>
                    </a:defRPr>
                  </a:pPr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</c:dLbl>
            <c:numFmt formatCode="General" sourceLinked="1"/>
            <c:txPr>
              <a:bodyPr/>
              <a:lstStyle/>
              <a:p>
                <a:pPr lvl="0">
                  <a:defRPr b="0" i="0" sz="1000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'Chart Calculations'!$A$57:$A$63</c:f>
            </c:strRef>
          </c:cat>
          <c:val>
            <c:numRef>
              <c:f>'Chart Calculations'!$B$4:$B$10</c:f>
              <c:numCache/>
            </c:numRef>
          </c:val>
        </c:ser>
        <c:ser>
          <c:idx val="1"/>
          <c:order val="1"/>
          <c:tx>
            <c:v>2020</c:v>
          </c:tx>
          <c:spPr>
            <a:solidFill>
              <a:srgbClr val="EA4335"/>
            </a:solidFill>
            <a:ln cmpd="sng">
              <a:solidFill>
                <a:srgbClr val="000000"/>
              </a:solidFill>
            </a:ln>
          </c:spPr>
          <c:dPt>
            <c:idx val="5"/>
            <c:spPr>
              <a:solidFill>
                <a:srgbClr val="EA4335"/>
              </a:solidFill>
              <a:ln cmpd="sng">
                <a:solidFill>
                  <a:srgbClr val="000000"/>
                </a:solidFill>
              </a:ln>
            </c:spPr>
          </c:dPt>
          <c:dLbls>
            <c:dLbl>
              <c:idx val="5"/>
              <c:tx>
                <c:rich>
                  <a:bodyPr/>
                  <a:lstStyle/>
                  <a:p>
                    <a:pPr lvl="0">
                      <a:defRPr b="0" i="0" sz="1000">
                        <a:solidFill>
                          <a:srgbClr val="000000"/>
                        </a:solidFill>
                        <a:latin typeface="Roboto"/>
                      </a:defRPr>
                    </a:pPr>
                    <a:r>
                      <a:rPr b="0" i="0" sz="1000">
                        <a:solidFill>
                          <a:srgbClr val="000000"/>
                        </a:solidFill>
                        <a:latin typeface="Roboto"/>
                      </a:rPr>
                      <a:t>3.3</a:t>
                    </a:r>
                  </a:p>
                </c:rich>
              </c:tx>
              <c:numFmt formatCode="General" sourceLinked="1"/>
              <c:txPr>
                <a:bodyPr/>
                <a:lstStyle/>
                <a:p>
                  <a:pPr lvl="0">
                    <a:defRPr b="0" i="0" sz="1000">
                      <a:solidFill>
                        <a:srgbClr val="000000"/>
                      </a:solidFill>
                      <a:latin typeface="Arial"/>
                    </a:defRPr>
                  </a:pPr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</c:dLbl>
            <c:numFmt formatCode="General" sourceLinked="1"/>
            <c:txPr>
              <a:bodyPr/>
              <a:lstStyle/>
              <a:p>
                <a:pPr lvl="0">
                  <a:defRPr b="0" i="0" sz="1000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'Chart Calculations'!$A$57:$A$63</c:f>
            </c:strRef>
          </c:cat>
          <c:val>
            <c:numRef>
              <c:f>'Chart Calculations'!$B$31:$B$37</c:f>
              <c:numCache/>
            </c:numRef>
          </c:val>
        </c:ser>
        <c:ser>
          <c:idx val="2"/>
          <c:order val="2"/>
          <c:tx>
            <c:v>2021</c:v>
          </c:tx>
          <c:spPr>
            <a:solidFill>
              <a:srgbClr val="FBBC04"/>
            </a:solidFill>
            <a:ln cmpd="sng">
              <a:solidFill>
                <a:srgbClr val="000000"/>
              </a:solidFill>
            </a:ln>
          </c:spPr>
          <c:dPt>
            <c:idx val="5"/>
            <c:spPr>
              <a:solidFill>
                <a:srgbClr val="FBBC04"/>
              </a:solidFill>
              <a:ln cmpd="sng">
                <a:solidFill>
                  <a:srgbClr val="000000"/>
                </a:solidFill>
              </a:ln>
            </c:spPr>
          </c:dPt>
          <c:dLbls>
            <c:dLbl>
              <c:idx val="5"/>
              <c:tx>
                <c:rich>
                  <a:bodyPr/>
                  <a:lstStyle/>
                  <a:p>
                    <a:pPr lvl="0">
                      <a:defRPr b="0" i="0" sz="1000">
                        <a:solidFill>
                          <a:srgbClr val="000000"/>
                        </a:solidFill>
                        <a:latin typeface="Roboto"/>
                      </a:defRPr>
                    </a:pPr>
                    <a:r>
                      <a:rPr b="0" i="0" sz="1000">
                        <a:solidFill>
                          <a:srgbClr val="000000"/>
                        </a:solidFill>
                        <a:latin typeface="Roboto"/>
                      </a:rPr>
                      <a:t>3.7</a:t>
                    </a:r>
                  </a:p>
                </c:rich>
              </c:tx>
              <c:numFmt formatCode="General" sourceLinked="1"/>
              <c:txPr>
                <a:bodyPr/>
                <a:lstStyle/>
                <a:p>
                  <a:pPr lvl="0">
                    <a:defRPr b="0" i="0" sz="1000">
                      <a:solidFill>
                        <a:srgbClr val="000000"/>
                      </a:solidFill>
                      <a:latin typeface="Arial"/>
                    </a:defRPr>
                  </a:pPr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</c:dLbl>
            <c:numFmt formatCode="General" sourceLinked="1"/>
            <c:txPr>
              <a:bodyPr/>
              <a:lstStyle/>
              <a:p>
                <a:pPr lvl="0">
                  <a:defRPr b="0" i="0" sz="1000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'Chart Calculations'!$A$57:$A$63</c:f>
            </c:strRef>
          </c:cat>
          <c:val>
            <c:numRef>
              <c:f>'Chart Calculations'!$B$44:$B$50</c:f>
              <c:numCache/>
            </c:numRef>
          </c:val>
        </c:ser>
        <c:ser>
          <c:idx val="3"/>
          <c:order val="3"/>
          <c:tx>
            <c:v>2022</c:v>
          </c:tx>
          <c:spPr>
            <a:solidFill>
              <a:srgbClr val="34A853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0" i="0" sz="1000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'Chart Calculations'!$A$57:$A$63</c:f>
            </c:strRef>
          </c:cat>
          <c:val>
            <c:numRef>
              <c:f>'Chart Calculations'!$B$57:$B$63</c:f>
              <c:numCache/>
            </c:numRef>
          </c:val>
        </c:ser>
        <c:axId val="2040950536"/>
        <c:axId val="1315982286"/>
      </c:barChart>
      <c:catAx>
        <c:axId val="204095053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 i="0" sz="1000">
                    <a:solidFill>
                      <a:srgbClr val="000000"/>
                    </a:solidFill>
                    <a:latin typeface="Arial"/>
                  </a:defRPr>
                </a:pPr>
                <a:r>
                  <a:rPr b="0" i="0" sz="1000">
                    <a:solidFill>
                      <a:srgbClr val="000000"/>
                    </a:solidFill>
                    <a:latin typeface="Arial"/>
                  </a:rPr>
                  <a:t>Macroinvertebrate Assessment Measurements</a:t>
                </a:r>
              </a:p>
            </c:rich>
          </c:tx>
          <c:overlay val="0"/>
        </c:title>
        <c:numFmt formatCode="General" sourceLinked="0"/>
        <c:majorTickMark val="none"/>
        <c:minorTickMark val="none"/>
        <c:spPr/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Arial"/>
              </a:defRPr>
            </a:pPr>
          </a:p>
        </c:txPr>
        <c:crossAx val="1315982286"/>
      </c:catAx>
      <c:valAx>
        <c:axId val="1315982286"/>
        <c:scaling>
          <c:orientation val="minMax"/>
          <c:max val="75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0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Arial"/>
              </a:defRPr>
            </a:pPr>
          </a:p>
        </c:txPr>
        <c:crossAx val="2040950536"/>
        <c:majorUnit val="10.0"/>
      </c:valAx>
    </c:plotArea>
    <c:legend>
      <c:legendPos val="r"/>
      <c:overlay val="0"/>
      <c:txPr>
        <a:bodyPr/>
        <a:lstStyle/>
        <a:p>
          <a:pPr lvl="0">
            <a:defRPr b="0" i="0" sz="1000">
              <a:solidFill>
                <a:srgbClr val="1A1A1A"/>
              </a:solidFill>
              <a:latin typeface="Arial"/>
            </a:defRPr>
          </a:pPr>
        </a:p>
      </c:txPr>
    </c:legend>
    <c:plotVisOnly val="1"/>
  </c:chart>
  <c:spPr>
    <a:solidFill>
      <a:srgbClr val="FFFFFF"/>
    </a:solidFill>
  </c:spPr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800">
                <a:solidFill>
                  <a:srgbClr val="757575"/>
                </a:solidFill>
                <a:latin typeface="Arial"/>
              </a:defRPr>
            </a:pPr>
            <a:r>
              <a:rPr b="1" i="0" sz="1800">
                <a:solidFill>
                  <a:srgbClr val="757575"/>
                </a:solidFill>
                <a:latin typeface="Arial"/>
              </a:rPr>
              <a:t>Paddy's Creek Biological Assessment Metrics Trends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v>2018</c:v>
          </c:tx>
          <c:spPr>
            <a:solidFill>
              <a:srgbClr val="4285F4"/>
            </a:solidFill>
            <a:ln cmpd="sng">
              <a:solidFill>
                <a:srgbClr val="000000"/>
              </a:solidFill>
            </a:ln>
          </c:spPr>
          <c:dPt>
            <c:idx val="3"/>
            <c:spPr>
              <a:solidFill>
                <a:srgbClr val="4285F4"/>
              </a:solidFill>
              <a:ln cmpd="sng">
                <a:solidFill>
                  <a:srgbClr val="000000"/>
                </a:solidFill>
              </a:ln>
            </c:spPr>
          </c:dPt>
          <c:dPt>
            <c:idx val="5"/>
            <c:spPr>
              <a:solidFill>
                <a:srgbClr val="4285F4"/>
              </a:solidFill>
              <a:ln cmpd="sng">
                <a:solidFill>
                  <a:srgbClr val="000000"/>
                </a:solidFill>
              </a:ln>
            </c:spPr>
          </c:dPt>
          <c:dLbls>
            <c:dLbl>
              <c:idx val="3"/>
              <c:tx>
                <c:rich>
                  <a:bodyPr/>
                  <a:lstStyle/>
                  <a:p>
                    <a:pPr lvl="0">
                      <a:defRPr b="0" i="0" sz="1000">
                        <a:solidFill>
                          <a:srgbClr val="000000"/>
                        </a:solidFill>
                        <a:latin typeface="Roboto"/>
                      </a:defRPr>
                    </a:pPr>
                    <a:r>
                      <a:rPr b="0" i="0" sz="1000">
                        <a:solidFill>
                          <a:srgbClr val="000000"/>
                        </a:solidFill>
                        <a:latin typeface="Roboto"/>
                      </a:rPr>
                      <a:t>40</a:t>
                    </a:r>
                  </a:p>
                </c:rich>
              </c:tx>
              <c:numFmt formatCode="General" sourceLinked="1"/>
              <c:txPr>
                <a:bodyPr/>
                <a:lstStyle/>
                <a:p>
                  <a:pPr lvl="0">
                    <a:defRPr b="0" i="0" sz="1000">
                      <a:solidFill>
                        <a:srgbClr val="000000"/>
                      </a:solidFill>
                      <a:latin typeface="Arial"/>
                    </a:defRPr>
                  </a:pPr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5"/>
              <c:tx>
                <c:rich>
                  <a:bodyPr/>
                  <a:lstStyle/>
                  <a:p>
                    <a:pPr lvl="0">
                      <a:defRPr b="0" i="0" sz="1000">
                        <a:solidFill>
                          <a:srgbClr val="000000"/>
                        </a:solidFill>
                        <a:latin typeface="Roboto"/>
                      </a:defRPr>
                    </a:pPr>
                    <a:r>
                      <a:rPr b="0" i="0" sz="1000">
                        <a:solidFill>
                          <a:srgbClr val="000000"/>
                        </a:solidFill>
                        <a:latin typeface="Roboto"/>
                      </a:rPr>
                      <a:t>3.1</a:t>
                    </a:r>
                  </a:p>
                </c:rich>
              </c:tx>
              <c:numFmt formatCode="General" sourceLinked="1"/>
              <c:txPr>
                <a:bodyPr/>
                <a:lstStyle/>
                <a:p>
                  <a:pPr lvl="0">
                    <a:defRPr b="0" i="0" sz="1000">
                      <a:solidFill>
                        <a:srgbClr val="000000"/>
                      </a:solidFill>
                      <a:latin typeface="Arial"/>
                    </a:defRPr>
                  </a:pPr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</c:dLbl>
            <c:numFmt formatCode="General" sourceLinked="1"/>
            <c:txPr>
              <a:bodyPr/>
              <a:lstStyle/>
              <a:p>
                <a:pPr lvl="0">
                  <a:defRPr b="0" i="0" sz="1000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'Chart Calculations'!$A$57:$A$63</c:f>
            </c:strRef>
          </c:cat>
          <c:val>
            <c:numRef>
              <c:f>'Chart Calculations'!$C$4:$C$10</c:f>
              <c:numCache/>
            </c:numRef>
          </c:val>
        </c:ser>
        <c:ser>
          <c:idx val="1"/>
          <c:order val="1"/>
          <c:tx>
            <c:v>2020</c:v>
          </c:tx>
          <c:spPr>
            <a:solidFill>
              <a:srgbClr val="EA4335"/>
            </a:solidFill>
            <a:ln cmpd="sng">
              <a:solidFill>
                <a:srgbClr val="000000"/>
              </a:solidFill>
            </a:ln>
          </c:spPr>
          <c:dPt>
            <c:idx val="5"/>
            <c:spPr>
              <a:solidFill>
                <a:srgbClr val="EA4335"/>
              </a:solidFill>
              <a:ln cmpd="sng">
                <a:solidFill>
                  <a:srgbClr val="000000"/>
                </a:solidFill>
              </a:ln>
            </c:spPr>
          </c:dPt>
          <c:dLbls>
            <c:dLbl>
              <c:idx val="5"/>
              <c:tx>
                <c:rich>
                  <a:bodyPr/>
                  <a:lstStyle/>
                  <a:p>
                    <a:pPr lvl="0">
                      <a:defRPr b="0" i="0" sz="1000">
                        <a:solidFill>
                          <a:srgbClr val="000000"/>
                        </a:solidFill>
                        <a:latin typeface="Roboto"/>
                      </a:defRPr>
                    </a:pPr>
                    <a:r>
                      <a:rPr b="0" i="0" sz="1000">
                        <a:solidFill>
                          <a:srgbClr val="000000"/>
                        </a:solidFill>
                        <a:latin typeface="Roboto"/>
                      </a:rPr>
                      <a:t>3.3</a:t>
                    </a:r>
                  </a:p>
                </c:rich>
              </c:tx>
              <c:numFmt formatCode="General" sourceLinked="1"/>
              <c:txPr>
                <a:bodyPr/>
                <a:lstStyle/>
                <a:p>
                  <a:pPr lvl="0">
                    <a:defRPr b="0" i="0" sz="1000">
                      <a:solidFill>
                        <a:srgbClr val="000000"/>
                      </a:solidFill>
                      <a:latin typeface="Arial"/>
                    </a:defRPr>
                  </a:pPr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</c:dLbl>
            <c:numFmt formatCode="General" sourceLinked="1"/>
            <c:txPr>
              <a:bodyPr/>
              <a:lstStyle/>
              <a:p>
                <a:pPr lvl="0">
                  <a:defRPr b="0" i="0" sz="1000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'Chart Calculations'!$A$57:$A$63</c:f>
            </c:strRef>
          </c:cat>
          <c:val>
            <c:numRef>
              <c:f>'Chart Calculations'!$C$31:$C$37</c:f>
              <c:numCache/>
            </c:numRef>
          </c:val>
        </c:ser>
        <c:ser>
          <c:idx val="2"/>
          <c:order val="2"/>
          <c:tx>
            <c:v>2021</c:v>
          </c:tx>
          <c:spPr>
            <a:solidFill>
              <a:srgbClr val="FBBC04"/>
            </a:solidFill>
            <a:ln cmpd="sng">
              <a:solidFill>
                <a:srgbClr val="000000"/>
              </a:solidFill>
            </a:ln>
          </c:spPr>
          <c:dPt>
            <c:idx val="5"/>
            <c:spPr>
              <a:solidFill>
                <a:srgbClr val="FBBC04"/>
              </a:solidFill>
              <a:ln cmpd="sng">
                <a:solidFill>
                  <a:srgbClr val="000000"/>
                </a:solidFill>
              </a:ln>
            </c:spPr>
          </c:dPt>
          <c:dLbls>
            <c:dLbl>
              <c:idx val="5"/>
              <c:tx>
                <c:rich>
                  <a:bodyPr/>
                  <a:lstStyle/>
                  <a:p>
                    <a:pPr lvl="0">
                      <a:defRPr b="0" i="0" sz="1000">
                        <a:solidFill>
                          <a:srgbClr val="000000"/>
                        </a:solidFill>
                        <a:latin typeface="Roboto"/>
                      </a:defRPr>
                    </a:pPr>
                    <a:r>
                      <a:rPr b="0" i="0" sz="1000">
                        <a:solidFill>
                          <a:srgbClr val="000000"/>
                        </a:solidFill>
                        <a:latin typeface="Roboto"/>
                      </a:rPr>
                      <a:t>2.9</a:t>
                    </a:r>
                  </a:p>
                </c:rich>
              </c:tx>
              <c:numFmt formatCode="General" sourceLinked="1"/>
              <c:txPr>
                <a:bodyPr/>
                <a:lstStyle/>
                <a:p>
                  <a:pPr lvl="0">
                    <a:defRPr b="0" i="0" sz="1000">
                      <a:solidFill>
                        <a:srgbClr val="000000"/>
                      </a:solidFill>
                      <a:latin typeface="Arial"/>
                    </a:defRPr>
                  </a:pPr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</c:dLbl>
            <c:numFmt formatCode="General" sourceLinked="1"/>
            <c:txPr>
              <a:bodyPr/>
              <a:lstStyle/>
              <a:p>
                <a:pPr lvl="0">
                  <a:defRPr b="0" i="0" sz="1000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'Chart Calculations'!$A$57:$A$63</c:f>
            </c:strRef>
          </c:cat>
          <c:val>
            <c:numRef>
              <c:f>'Chart Calculations'!$C$44:$C$50</c:f>
              <c:numCache/>
            </c:numRef>
          </c:val>
        </c:ser>
        <c:ser>
          <c:idx val="3"/>
          <c:order val="3"/>
          <c:tx>
            <c:v>2022</c:v>
          </c:tx>
          <c:spPr>
            <a:solidFill>
              <a:srgbClr val="34A853"/>
            </a:solidFill>
            <a:ln cmpd="sng">
              <a:solidFill>
                <a:srgbClr val="000000"/>
              </a:solidFill>
            </a:ln>
          </c:spPr>
          <c:dPt>
            <c:idx val="3"/>
            <c:spPr>
              <a:solidFill>
                <a:srgbClr val="34A853"/>
              </a:solidFill>
              <a:ln cmpd="sng">
                <a:solidFill>
                  <a:srgbClr val="000000"/>
                </a:solidFill>
              </a:ln>
            </c:spPr>
          </c:dPt>
          <c:dPt>
            <c:idx val="5"/>
            <c:spPr>
              <a:solidFill>
                <a:srgbClr val="34A853"/>
              </a:solidFill>
              <a:ln cmpd="sng">
                <a:solidFill>
                  <a:srgbClr val="000000"/>
                </a:solidFill>
              </a:ln>
            </c:spPr>
          </c:dPt>
          <c:dLbls>
            <c:dLbl>
              <c:idx val="3"/>
              <c:tx>
                <c:rich>
                  <a:bodyPr/>
                  <a:lstStyle/>
                  <a:p>
                    <a:pPr lvl="0">
                      <a:defRPr b="0" i="0" sz="1000">
                        <a:solidFill>
                          <a:srgbClr val="000000"/>
                        </a:solidFill>
                        <a:latin typeface="Roboto"/>
                      </a:defRPr>
                    </a:pPr>
                    <a:r>
                      <a:rPr b="0" i="0" sz="1000">
                        <a:solidFill>
                          <a:srgbClr val="000000"/>
                        </a:solidFill>
                        <a:latin typeface="Roboto"/>
                      </a:rPr>
                      <a:t>111</a:t>
                    </a:r>
                  </a:p>
                </c:rich>
              </c:tx>
              <c:numFmt formatCode="General" sourceLinked="1"/>
              <c:txPr>
                <a:bodyPr/>
                <a:lstStyle/>
                <a:p>
                  <a:pPr lvl="0">
                    <a:defRPr b="0" i="0" sz="1000">
                      <a:solidFill>
                        <a:srgbClr val="000000"/>
                      </a:solidFill>
                      <a:latin typeface="Arial"/>
                    </a:defRPr>
                  </a:pPr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5"/>
              <c:tx>
                <c:rich>
                  <a:bodyPr/>
                  <a:lstStyle/>
                  <a:p>
                    <a:pPr lvl="0">
                      <a:defRPr b="0" i="0" sz="1000">
                        <a:solidFill>
                          <a:srgbClr val="000000"/>
                        </a:solidFill>
                        <a:latin typeface="Roboto"/>
                      </a:defRPr>
                    </a:pPr>
                    <a:r>
                      <a:rPr b="0" i="0" sz="1000">
                        <a:solidFill>
                          <a:srgbClr val="000000"/>
                        </a:solidFill>
                        <a:latin typeface="Roboto"/>
                      </a:rPr>
                      <a:t>3.1</a:t>
                    </a:r>
                  </a:p>
                </c:rich>
              </c:tx>
              <c:numFmt formatCode="General" sourceLinked="1"/>
              <c:txPr>
                <a:bodyPr/>
                <a:lstStyle/>
                <a:p>
                  <a:pPr lvl="0">
                    <a:defRPr b="0" i="0" sz="1000">
                      <a:solidFill>
                        <a:srgbClr val="000000"/>
                      </a:solidFill>
                      <a:latin typeface="Arial"/>
                    </a:defRPr>
                  </a:pPr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</c:dLbl>
            <c:numFmt formatCode="General" sourceLinked="1"/>
            <c:txPr>
              <a:bodyPr/>
              <a:lstStyle/>
              <a:p>
                <a:pPr lvl="0">
                  <a:defRPr b="0" i="0" sz="1000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'Chart Calculations'!$A$57:$A$63</c:f>
            </c:strRef>
          </c:cat>
          <c:val>
            <c:numRef>
              <c:f>'Chart Calculations'!$C$57:$C$63</c:f>
              <c:numCache/>
            </c:numRef>
          </c:val>
        </c:ser>
        <c:axId val="2106726614"/>
        <c:axId val="722412449"/>
      </c:barChart>
      <c:catAx>
        <c:axId val="210672661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 i="0" sz="1000">
                    <a:solidFill>
                      <a:srgbClr val="000000"/>
                    </a:solidFill>
                    <a:latin typeface="Arial"/>
                  </a:defRPr>
                </a:pPr>
                <a:r>
                  <a:rPr b="0" i="0" sz="1000">
                    <a:solidFill>
                      <a:srgbClr val="000000"/>
                    </a:solidFill>
                    <a:latin typeface="Arial"/>
                  </a:rPr>
                  <a:t>Macroinvertebrate Assessment Measurements</a:t>
                </a:r>
              </a:p>
            </c:rich>
          </c:tx>
          <c:overlay val="0"/>
        </c:title>
        <c:numFmt formatCode="General" sourceLinked="0"/>
        <c:majorTickMark val="none"/>
        <c:minorTickMark val="none"/>
        <c:spPr/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Arial"/>
              </a:defRPr>
            </a:pPr>
          </a:p>
        </c:txPr>
        <c:crossAx val="722412449"/>
      </c:catAx>
      <c:valAx>
        <c:axId val="722412449"/>
        <c:scaling>
          <c:orientation val="minMax"/>
          <c:max val="160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0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Arial"/>
              </a:defRPr>
            </a:pPr>
          </a:p>
        </c:txPr>
        <c:crossAx val="2106726614"/>
      </c:valAx>
    </c:plotArea>
    <c:legend>
      <c:legendPos val="r"/>
      <c:overlay val="0"/>
      <c:txPr>
        <a:bodyPr/>
        <a:lstStyle/>
        <a:p>
          <a:pPr lvl="0">
            <a:defRPr b="0" i="0" sz="1000">
              <a:solidFill>
                <a:srgbClr val="1A1A1A"/>
              </a:solidFill>
              <a:latin typeface="Arial"/>
            </a:defRPr>
          </a:pPr>
        </a:p>
      </c:txPr>
    </c:legend>
    <c:plotVisOnly val="1"/>
  </c:chart>
  <c:spPr>
    <a:solidFill>
      <a:srgbClr val="FFFFFF"/>
    </a:solidFill>
  </c:spPr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800">
                <a:solidFill>
                  <a:srgbClr val="757575"/>
                </a:solidFill>
                <a:latin typeface="Arial"/>
              </a:defRPr>
            </a:pPr>
            <a:r>
              <a:rPr b="1" i="0" sz="1800">
                <a:solidFill>
                  <a:srgbClr val="757575"/>
                </a:solidFill>
                <a:latin typeface="Arial"/>
              </a:rPr>
              <a:t>North Fork Catawba River at American Thread Rd Biological Assessment Trends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v>2018</c:v>
          </c:tx>
          <c:spPr>
            <a:solidFill>
              <a:srgbClr val="4285F4"/>
            </a:solidFill>
            <a:ln cmpd="sng">
              <a:solidFill>
                <a:srgbClr val="000000"/>
              </a:solidFill>
            </a:ln>
          </c:spPr>
          <c:dPt>
            <c:idx val="5"/>
            <c:spPr>
              <a:solidFill>
                <a:srgbClr val="4285F4"/>
              </a:solidFill>
              <a:ln cmpd="sng">
                <a:solidFill>
                  <a:srgbClr val="000000"/>
                </a:solidFill>
              </a:ln>
            </c:spPr>
          </c:dPt>
          <c:dLbls>
            <c:dLbl>
              <c:idx val="5"/>
              <c:tx>
                <c:rich>
                  <a:bodyPr/>
                  <a:lstStyle/>
                  <a:p>
                    <a:pPr lvl="0">
                      <a:defRPr b="0" i="0" sz="1000">
                        <a:solidFill>
                          <a:srgbClr val="000000"/>
                        </a:solidFill>
                        <a:latin typeface="Roboto"/>
                      </a:defRPr>
                    </a:pPr>
                    <a:r>
                      <a:rPr b="0" i="0" sz="1000">
                        <a:solidFill>
                          <a:srgbClr val="000000"/>
                        </a:solidFill>
                        <a:latin typeface="Roboto"/>
                      </a:rPr>
                      <a:t>3.3</a:t>
                    </a:r>
                  </a:p>
                </c:rich>
              </c:tx>
              <c:numFmt formatCode="General" sourceLinked="1"/>
              <c:txPr>
                <a:bodyPr/>
                <a:lstStyle/>
                <a:p>
                  <a:pPr lvl="0">
                    <a:defRPr b="0" i="0" sz="1000">
                      <a:solidFill>
                        <a:srgbClr val="000000"/>
                      </a:solidFill>
                      <a:latin typeface="Arial"/>
                    </a:defRPr>
                  </a:pPr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</c:dLbl>
            <c:numFmt formatCode="General" sourceLinked="1"/>
            <c:txPr>
              <a:bodyPr/>
              <a:lstStyle/>
              <a:p>
                <a:pPr lvl="0">
                  <a:defRPr b="0" i="0" sz="1000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'Chart Calculations'!$A$57:$A$63</c:f>
            </c:strRef>
          </c:cat>
          <c:val>
            <c:numRef>
              <c:f>'Chart Calculations'!$D$4:$D$10</c:f>
              <c:numCache/>
            </c:numRef>
          </c:val>
        </c:ser>
        <c:ser>
          <c:idx val="1"/>
          <c:order val="1"/>
          <c:tx>
            <c:v>2020</c:v>
          </c:tx>
          <c:spPr>
            <a:solidFill>
              <a:srgbClr val="EA4335"/>
            </a:solidFill>
            <a:ln cmpd="sng">
              <a:solidFill>
                <a:srgbClr val="000000"/>
              </a:solidFill>
            </a:ln>
          </c:spPr>
          <c:dPt>
            <c:idx val="5"/>
            <c:spPr>
              <a:solidFill>
                <a:srgbClr val="EA4335"/>
              </a:solidFill>
              <a:ln cmpd="sng">
                <a:solidFill>
                  <a:srgbClr val="000000"/>
                </a:solidFill>
              </a:ln>
            </c:spPr>
          </c:dPt>
          <c:dLbls>
            <c:dLbl>
              <c:idx val="5"/>
              <c:tx>
                <c:rich>
                  <a:bodyPr/>
                  <a:lstStyle/>
                  <a:p>
                    <a:pPr lvl="0">
                      <a:defRPr b="0" i="0" sz="1000">
                        <a:solidFill>
                          <a:srgbClr val="000000"/>
                        </a:solidFill>
                        <a:latin typeface="Roboto"/>
                      </a:defRPr>
                    </a:pPr>
                    <a:r>
                      <a:rPr b="0" i="0" sz="1000">
                        <a:solidFill>
                          <a:srgbClr val="000000"/>
                        </a:solidFill>
                        <a:latin typeface="Roboto"/>
                      </a:rPr>
                      <a:t>4.6</a:t>
                    </a:r>
                  </a:p>
                </c:rich>
              </c:tx>
              <c:numFmt formatCode="General" sourceLinked="1"/>
              <c:txPr>
                <a:bodyPr/>
                <a:lstStyle/>
                <a:p>
                  <a:pPr lvl="0">
                    <a:defRPr b="0" i="0" sz="1000">
                      <a:solidFill>
                        <a:srgbClr val="000000"/>
                      </a:solidFill>
                      <a:latin typeface="Arial"/>
                    </a:defRPr>
                  </a:pPr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</c:dLbl>
            <c:numFmt formatCode="General" sourceLinked="1"/>
            <c:txPr>
              <a:bodyPr/>
              <a:lstStyle/>
              <a:p>
                <a:pPr lvl="0">
                  <a:defRPr b="0" i="0" sz="1000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'Chart Calculations'!$A$57:$A$63</c:f>
            </c:strRef>
          </c:cat>
          <c:val>
            <c:numRef>
              <c:f>'Chart Calculations'!$D$31:$D$37</c:f>
              <c:numCache/>
            </c:numRef>
          </c:val>
        </c:ser>
        <c:ser>
          <c:idx val="2"/>
          <c:order val="2"/>
          <c:tx>
            <c:v>2021</c:v>
          </c:tx>
          <c:spPr>
            <a:solidFill>
              <a:srgbClr val="FBBC04"/>
            </a:solidFill>
            <a:ln cmpd="sng">
              <a:solidFill>
                <a:srgbClr val="000000"/>
              </a:solidFill>
            </a:ln>
          </c:spPr>
          <c:dPt>
            <c:idx val="5"/>
            <c:spPr>
              <a:solidFill>
                <a:srgbClr val="FBBC04"/>
              </a:solidFill>
              <a:ln cmpd="sng">
                <a:solidFill>
                  <a:srgbClr val="000000"/>
                </a:solidFill>
              </a:ln>
            </c:spPr>
          </c:dPt>
          <c:dLbls>
            <c:dLbl>
              <c:idx val="5"/>
              <c:tx>
                <c:rich>
                  <a:bodyPr/>
                  <a:lstStyle/>
                  <a:p>
                    <a:pPr lvl="0">
                      <a:defRPr b="0" i="0" sz="1000">
                        <a:solidFill>
                          <a:srgbClr val="000000"/>
                        </a:solidFill>
                        <a:latin typeface="Roboto"/>
                      </a:defRPr>
                    </a:pPr>
                    <a:r>
                      <a:rPr b="0" i="0" sz="1000">
                        <a:solidFill>
                          <a:srgbClr val="000000"/>
                        </a:solidFill>
                        <a:latin typeface="Roboto"/>
                      </a:rPr>
                      <a:t>4.6</a:t>
                    </a:r>
                  </a:p>
                </c:rich>
              </c:tx>
              <c:numFmt formatCode="General" sourceLinked="1"/>
              <c:txPr>
                <a:bodyPr/>
                <a:lstStyle/>
                <a:p>
                  <a:pPr lvl="0">
                    <a:defRPr b="0" i="0" sz="1000">
                      <a:solidFill>
                        <a:srgbClr val="000000"/>
                      </a:solidFill>
                      <a:latin typeface="Arial"/>
                    </a:defRPr>
                  </a:pPr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</c:dLbl>
            <c:numFmt formatCode="General" sourceLinked="1"/>
            <c:txPr>
              <a:bodyPr/>
              <a:lstStyle/>
              <a:p>
                <a:pPr lvl="0">
                  <a:defRPr b="0" i="0" sz="1000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'Chart Calculations'!$A$57:$A$63</c:f>
            </c:strRef>
          </c:cat>
          <c:val>
            <c:numRef>
              <c:f>'Chart Calculations'!$D$44:$D$50</c:f>
              <c:numCache/>
            </c:numRef>
          </c:val>
        </c:ser>
        <c:ser>
          <c:idx val="3"/>
          <c:order val="3"/>
          <c:tx>
            <c:v>2022</c:v>
          </c:tx>
          <c:spPr>
            <a:solidFill>
              <a:srgbClr val="34A853"/>
            </a:solidFill>
            <a:ln cmpd="sng">
              <a:solidFill>
                <a:srgbClr val="000000"/>
              </a:solidFill>
            </a:ln>
          </c:spPr>
          <c:dPt>
            <c:idx val="5"/>
            <c:spPr>
              <a:solidFill>
                <a:srgbClr val="34A853"/>
              </a:solidFill>
              <a:ln cmpd="sng">
                <a:solidFill>
                  <a:srgbClr val="000000"/>
                </a:solidFill>
              </a:ln>
            </c:spPr>
          </c:dPt>
          <c:dLbls>
            <c:dLbl>
              <c:idx val="5"/>
              <c:tx>
                <c:rich>
                  <a:bodyPr/>
                  <a:lstStyle/>
                  <a:p>
                    <a:pPr lvl="0">
                      <a:defRPr b="0" i="0" sz="1000">
                        <a:solidFill>
                          <a:srgbClr val="000000"/>
                        </a:solidFill>
                        <a:latin typeface="Roboto"/>
                      </a:defRPr>
                    </a:pPr>
                    <a:r>
                      <a:rPr b="0" i="0" sz="1000">
                        <a:solidFill>
                          <a:srgbClr val="000000"/>
                        </a:solidFill>
                        <a:latin typeface="Roboto"/>
                      </a:rPr>
                      <a:t>4.3</a:t>
                    </a:r>
                  </a:p>
                </c:rich>
              </c:tx>
              <c:numFmt formatCode="General" sourceLinked="1"/>
              <c:txPr>
                <a:bodyPr/>
                <a:lstStyle/>
                <a:p>
                  <a:pPr lvl="0">
                    <a:defRPr b="0" i="0" sz="1000">
                      <a:solidFill>
                        <a:srgbClr val="000000"/>
                      </a:solidFill>
                      <a:latin typeface="Arial"/>
                    </a:defRPr>
                  </a:pPr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</c:dLbl>
            <c:numFmt formatCode="General" sourceLinked="1"/>
            <c:txPr>
              <a:bodyPr/>
              <a:lstStyle/>
              <a:p>
                <a:pPr lvl="0">
                  <a:defRPr b="0" i="0" sz="1000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'Chart Calculations'!$A$57:$A$63</c:f>
            </c:strRef>
          </c:cat>
          <c:val>
            <c:numRef>
              <c:f>'Chart Calculations'!$D$57:$D$63</c:f>
              <c:numCache/>
            </c:numRef>
          </c:val>
        </c:ser>
        <c:axId val="1261355999"/>
        <c:axId val="1558522257"/>
      </c:barChart>
      <c:catAx>
        <c:axId val="126135599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 i="0" sz="1000">
                    <a:solidFill>
                      <a:srgbClr val="000000"/>
                    </a:solidFill>
                    <a:latin typeface="Arial"/>
                  </a:defRPr>
                </a:pPr>
                <a:r>
                  <a:rPr b="1" i="0" sz="1000">
                    <a:solidFill>
                      <a:srgbClr val="000000"/>
                    </a:solidFill>
                    <a:latin typeface="Arial"/>
                  </a:rPr>
                  <a:t>Macroinvertebrate Metrics</a:t>
                </a:r>
              </a:p>
            </c:rich>
          </c:tx>
          <c:overlay val="0"/>
        </c:title>
        <c:numFmt formatCode="General" sourceLinked="0"/>
        <c:majorTickMark val="none"/>
        <c:minorTickMark val="none"/>
        <c:spPr/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Arial"/>
              </a:defRPr>
            </a:pPr>
          </a:p>
        </c:txPr>
        <c:crossAx val="1558522257"/>
      </c:catAx>
      <c:valAx>
        <c:axId val="1558522257"/>
        <c:scaling>
          <c:orientation val="minMax"/>
          <c:max val="55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0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Arial"/>
              </a:defRPr>
            </a:pPr>
          </a:p>
        </c:txPr>
        <c:crossAx val="1261355999"/>
      </c:valAx>
    </c:plotArea>
    <c:legend>
      <c:legendPos val="r"/>
      <c:overlay val="0"/>
      <c:txPr>
        <a:bodyPr/>
        <a:lstStyle/>
        <a:p>
          <a:pPr lvl="0">
            <a:defRPr b="0" i="0" sz="1000">
              <a:solidFill>
                <a:srgbClr val="1A1A1A"/>
              </a:solidFill>
              <a:latin typeface="Arial"/>
            </a:defRPr>
          </a:pPr>
        </a:p>
      </c:txPr>
    </c:legend>
    <c:plotVisOnly val="1"/>
  </c:chart>
  <c:spPr>
    <a:solidFill>
      <a:srgbClr val="FFFFFF"/>
    </a:solidFill>
  </c:spPr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800">
                <a:solidFill>
                  <a:srgbClr val="757575"/>
                </a:solidFill>
                <a:latin typeface="Arial"/>
              </a:defRPr>
            </a:pPr>
            <a:r>
              <a:rPr b="1" i="0" sz="1800">
                <a:solidFill>
                  <a:srgbClr val="757575"/>
                </a:solidFill>
                <a:latin typeface="Arial"/>
              </a:rPr>
              <a:t>North Fork Catawba River at N Cove School Rd Biological Assessment Trends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v>2018</c:v>
          </c:tx>
          <c:spPr>
            <a:solidFill>
              <a:srgbClr val="4285F4"/>
            </a:solidFill>
            <a:ln cmpd="sng">
              <a:solidFill>
                <a:srgbClr val="000000"/>
              </a:solidFill>
            </a:ln>
          </c:spPr>
          <c:dPt>
            <c:idx val="5"/>
            <c:spPr>
              <a:solidFill>
                <a:srgbClr val="4285F4"/>
              </a:solidFill>
              <a:ln cmpd="sng">
                <a:solidFill>
                  <a:srgbClr val="000000"/>
                </a:solidFill>
              </a:ln>
            </c:spPr>
          </c:dPt>
          <c:dLbls>
            <c:dLbl>
              <c:idx val="5"/>
              <c:tx>
                <c:rich>
                  <a:bodyPr/>
                  <a:lstStyle/>
                  <a:p>
                    <a:pPr lvl="0">
                      <a:defRPr b="0" i="0" sz="1000">
                        <a:solidFill>
                          <a:srgbClr val="000000"/>
                        </a:solidFill>
                        <a:latin typeface="Roboto"/>
                      </a:defRPr>
                    </a:pPr>
                    <a:r>
                      <a:rPr b="0" i="0" sz="1000">
                        <a:solidFill>
                          <a:srgbClr val="000000"/>
                        </a:solidFill>
                        <a:latin typeface="Roboto"/>
                      </a:rPr>
                      <a:t>3.1</a:t>
                    </a:r>
                  </a:p>
                </c:rich>
              </c:tx>
              <c:numFmt formatCode="General" sourceLinked="1"/>
              <c:txPr>
                <a:bodyPr/>
                <a:lstStyle/>
                <a:p>
                  <a:pPr lvl="0">
                    <a:defRPr b="0" i="0" sz="1000">
                      <a:solidFill>
                        <a:srgbClr val="000000"/>
                      </a:solidFill>
                      <a:latin typeface="Arial"/>
                    </a:defRPr>
                  </a:pPr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</c:dLbl>
            <c:numFmt formatCode="General" sourceLinked="1"/>
            <c:txPr>
              <a:bodyPr/>
              <a:lstStyle/>
              <a:p>
                <a:pPr lvl="0">
                  <a:defRPr b="0" i="0" sz="1000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'Chart Calculations'!$A$57:$A$63</c:f>
            </c:strRef>
          </c:cat>
          <c:val>
            <c:numRef>
              <c:f>'Chart Calculations'!$E$4:$E$10</c:f>
              <c:numCache/>
            </c:numRef>
          </c:val>
        </c:ser>
        <c:ser>
          <c:idx val="1"/>
          <c:order val="1"/>
          <c:tx>
            <c:v>2020</c:v>
          </c:tx>
          <c:spPr>
            <a:solidFill>
              <a:srgbClr val="EA4335"/>
            </a:solidFill>
            <a:ln cmpd="sng">
              <a:solidFill>
                <a:srgbClr val="000000"/>
              </a:solidFill>
            </a:ln>
          </c:spPr>
          <c:dPt>
            <c:idx val="5"/>
            <c:spPr>
              <a:solidFill>
                <a:srgbClr val="EA4335"/>
              </a:solidFill>
              <a:ln cmpd="sng">
                <a:solidFill>
                  <a:srgbClr val="000000"/>
                </a:solidFill>
              </a:ln>
            </c:spPr>
          </c:dPt>
          <c:dLbls>
            <c:dLbl>
              <c:idx val="5"/>
              <c:tx>
                <c:rich>
                  <a:bodyPr/>
                  <a:lstStyle/>
                  <a:p>
                    <a:pPr lvl="0">
                      <a:defRPr b="0" i="0" sz="1000">
                        <a:solidFill>
                          <a:srgbClr val="000000"/>
                        </a:solidFill>
                        <a:latin typeface="Roboto"/>
                      </a:defRPr>
                    </a:pPr>
                    <a:r>
                      <a:rPr b="0" i="0" sz="1000">
                        <a:solidFill>
                          <a:srgbClr val="000000"/>
                        </a:solidFill>
                        <a:latin typeface="Roboto"/>
                      </a:rPr>
                      <a:t>2.9</a:t>
                    </a:r>
                  </a:p>
                </c:rich>
              </c:tx>
              <c:numFmt formatCode="General" sourceLinked="1"/>
              <c:txPr>
                <a:bodyPr/>
                <a:lstStyle/>
                <a:p>
                  <a:pPr lvl="0">
                    <a:defRPr b="0" i="0" sz="1000">
                      <a:solidFill>
                        <a:srgbClr val="000000"/>
                      </a:solidFill>
                      <a:latin typeface="Arial"/>
                    </a:defRPr>
                  </a:pPr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</c:dLbl>
            <c:numFmt formatCode="General" sourceLinked="1"/>
            <c:txPr>
              <a:bodyPr/>
              <a:lstStyle/>
              <a:p>
                <a:pPr lvl="0">
                  <a:defRPr b="0" i="0" sz="1000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'Chart Calculations'!$A$57:$A$63</c:f>
            </c:strRef>
          </c:cat>
          <c:val>
            <c:numRef>
              <c:f>'Chart Calculations'!$E$31:$E$37</c:f>
              <c:numCache/>
            </c:numRef>
          </c:val>
        </c:ser>
        <c:ser>
          <c:idx val="2"/>
          <c:order val="2"/>
          <c:tx>
            <c:v>2021</c:v>
          </c:tx>
          <c:spPr>
            <a:solidFill>
              <a:srgbClr val="FBBC04"/>
            </a:solidFill>
            <a:ln cmpd="sng">
              <a:solidFill>
                <a:srgbClr val="000000"/>
              </a:solidFill>
            </a:ln>
          </c:spPr>
          <c:dPt>
            <c:idx val="5"/>
            <c:spPr>
              <a:solidFill>
                <a:srgbClr val="FBBC04"/>
              </a:solidFill>
              <a:ln cmpd="sng">
                <a:solidFill>
                  <a:srgbClr val="000000"/>
                </a:solidFill>
              </a:ln>
            </c:spPr>
          </c:dPt>
          <c:dLbls>
            <c:dLbl>
              <c:idx val="5"/>
              <c:tx>
                <c:rich>
                  <a:bodyPr/>
                  <a:lstStyle/>
                  <a:p>
                    <a:pPr lvl="0">
                      <a:defRPr b="0" i="0" sz="1000">
                        <a:solidFill>
                          <a:srgbClr val="000000"/>
                        </a:solidFill>
                        <a:latin typeface="Roboto"/>
                      </a:defRPr>
                    </a:pPr>
                    <a:r>
                      <a:rPr b="0" i="0" sz="1000">
                        <a:solidFill>
                          <a:srgbClr val="000000"/>
                        </a:solidFill>
                        <a:latin typeface="Roboto"/>
                      </a:rPr>
                      <a:t>3.5</a:t>
                    </a:r>
                  </a:p>
                </c:rich>
              </c:tx>
              <c:numFmt formatCode="General" sourceLinked="1"/>
              <c:txPr>
                <a:bodyPr/>
                <a:lstStyle/>
                <a:p>
                  <a:pPr lvl="0">
                    <a:defRPr b="0" i="0" sz="1000">
                      <a:solidFill>
                        <a:srgbClr val="000000"/>
                      </a:solidFill>
                      <a:latin typeface="Arial"/>
                    </a:defRPr>
                  </a:pPr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</c:dLbl>
            <c:numFmt formatCode="General" sourceLinked="1"/>
            <c:txPr>
              <a:bodyPr/>
              <a:lstStyle/>
              <a:p>
                <a:pPr lvl="0">
                  <a:defRPr b="0" i="0" sz="1000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'Chart Calculations'!$A$57:$A$63</c:f>
            </c:strRef>
          </c:cat>
          <c:val>
            <c:numRef>
              <c:f>'Chart Calculations'!$E$44:$E$50</c:f>
              <c:numCache/>
            </c:numRef>
          </c:val>
        </c:ser>
        <c:ser>
          <c:idx val="3"/>
          <c:order val="3"/>
          <c:tx>
            <c:v>2022</c:v>
          </c:tx>
          <c:spPr>
            <a:solidFill>
              <a:srgbClr val="34A853"/>
            </a:solidFill>
            <a:ln cmpd="sng">
              <a:solidFill>
                <a:srgbClr val="000000"/>
              </a:solidFill>
            </a:ln>
          </c:spPr>
          <c:dPt>
            <c:idx val="5"/>
            <c:spPr>
              <a:solidFill>
                <a:srgbClr val="34A853"/>
              </a:solidFill>
              <a:ln cmpd="sng">
                <a:solidFill>
                  <a:srgbClr val="000000"/>
                </a:solidFill>
              </a:ln>
            </c:spPr>
          </c:dPt>
          <c:dLbls>
            <c:dLbl>
              <c:idx val="5"/>
              <c:tx>
                <c:rich>
                  <a:bodyPr/>
                  <a:lstStyle/>
                  <a:p>
                    <a:pPr lvl="0">
                      <a:defRPr b="0" i="0" sz="1000">
                        <a:solidFill>
                          <a:srgbClr val="000000"/>
                        </a:solidFill>
                        <a:latin typeface="Roboto"/>
                      </a:defRPr>
                    </a:pPr>
                    <a:r>
                      <a:rPr b="0" i="0" sz="1000">
                        <a:solidFill>
                          <a:srgbClr val="000000"/>
                        </a:solidFill>
                        <a:latin typeface="Roboto"/>
                      </a:rPr>
                      <a:t>4.0</a:t>
                    </a:r>
                  </a:p>
                </c:rich>
              </c:tx>
              <c:numFmt formatCode="General" sourceLinked="1"/>
              <c:txPr>
                <a:bodyPr/>
                <a:lstStyle/>
                <a:p>
                  <a:pPr lvl="0">
                    <a:defRPr b="0" i="0" sz="1000">
                      <a:solidFill>
                        <a:srgbClr val="000000"/>
                      </a:solidFill>
                      <a:latin typeface="Arial"/>
                    </a:defRPr>
                  </a:pPr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</c:dLbl>
            <c:numFmt formatCode="General" sourceLinked="1"/>
            <c:txPr>
              <a:bodyPr/>
              <a:lstStyle/>
              <a:p>
                <a:pPr lvl="0">
                  <a:defRPr b="0" i="0" sz="1000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'Chart Calculations'!$A$57:$A$63</c:f>
            </c:strRef>
          </c:cat>
          <c:val>
            <c:numRef>
              <c:f>'Chart Calculations'!$E$57:$E$63</c:f>
              <c:numCache/>
            </c:numRef>
          </c:val>
        </c:ser>
        <c:axId val="869775515"/>
        <c:axId val="2111796186"/>
      </c:barChart>
      <c:catAx>
        <c:axId val="86977551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 i="0" sz="1000">
                    <a:solidFill>
                      <a:srgbClr val="000000"/>
                    </a:solidFill>
                    <a:latin typeface="Arial"/>
                  </a:defRPr>
                </a:pPr>
                <a:r>
                  <a:rPr b="1" i="0" sz="1000">
                    <a:solidFill>
                      <a:srgbClr val="000000"/>
                    </a:solidFill>
                    <a:latin typeface="Arial"/>
                  </a:rPr>
                  <a:t>Macroinvertebrate Metrics</a:t>
                </a:r>
              </a:p>
            </c:rich>
          </c:tx>
          <c:overlay val="0"/>
        </c:title>
        <c:numFmt formatCode="General" sourceLinked="0"/>
        <c:majorTickMark val="none"/>
        <c:minorTickMark val="none"/>
        <c:spPr/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Arial"/>
              </a:defRPr>
            </a:pPr>
          </a:p>
        </c:txPr>
        <c:crossAx val="2111796186"/>
      </c:catAx>
      <c:valAx>
        <c:axId val="2111796186"/>
        <c:scaling>
          <c:orientation val="minMax"/>
          <c:max val="55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0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Arial"/>
              </a:defRPr>
            </a:pPr>
          </a:p>
        </c:txPr>
        <c:crossAx val="869775515"/>
      </c:valAx>
    </c:plotArea>
    <c:legend>
      <c:legendPos val="r"/>
      <c:overlay val="0"/>
      <c:txPr>
        <a:bodyPr/>
        <a:lstStyle/>
        <a:p>
          <a:pPr lvl="0">
            <a:defRPr b="0" i="0" sz="1000">
              <a:solidFill>
                <a:srgbClr val="1A1A1A"/>
              </a:solidFill>
              <a:latin typeface="Arial"/>
            </a:defRPr>
          </a:pPr>
        </a:p>
      </c:txPr>
    </c:legend>
    <c:plotVisOnly val="1"/>
  </c:chart>
  <c:spPr>
    <a:solidFill>
      <a:srgbClr val="FFFFFF"/>
    </a:solidFill>
  </c:spPr>
</c:chartSpace>
</file>

<file path=xl/charts/chart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800">
                <a:solidFill>
                  <a:srgbClr val="757575"/>
                </a:solidFill>
                <a:latin typeface="Arial"/>
              </a:defRPr>
            </a:pPr>
            <a:r>
              <a:rPr b="1" i="0" sz="1800">
                <a:solidFill>
                  <a:srgbClr val="757575"/>
                </a:solidFill>
                <a:latin typeface="Arial"/>
              </a:rPr>
              <a:t>Catawba River at Greenlee Park Biological Assessment Trends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v>2020</c:v>
          </c:tx>
          <c:spPr>
            <a:solidFill>
              <a:srgbClr val="EA4335"/>
            </a:solidFill>
            <a:ln cmpd="sng">
              <a:solidFill>
                <a:srgbClr val="000000"/>
              </a:solidFill>
            </a:ln>
          </c:spPr>
          <c:dPt>
            <c:idx val="3"/>
            <c:spPr>
              <a:solidFill>
                <a:srgbClr val="EA4335"/>
              </a:solidFill>
              <a:ln cmpd="sng">
                <a:solidFill>
                  <a:srgbClr val="000000"/>
                </a:solidFill>
              </a:ln>
            </c:spPr>
          </c:dPt>
          <c:dPt>
            <c:idx val="4"/>
            <c:spPr>
              <a:solidFill>
                <a:srgbClr val="EA4335"/>
              </a:solidFill>
              <a:ln cmpd="sng">
                <a:solidFill>
                  <a:srgbClr val="000000"/>
                </a:solidFill>
              </a:ln>
            </c:spPr>
          </c:dPt>
          <c:dPt>
            <c:idx val="5"/>
            <c:spPr>
              <a:solidFill>
                <a:srgbClr val="EA4335"/>
              </a:solidFill>
              <a:ln cmpd="sng">
                <a:solidFill>
                  <a:srgbClr val="000000"/>
                </a:solidFill>
              </a:ln>
            </c:spPr>
          </c:dPt>
          <c:dLbls>
            <c:dLbl>
              <c:idx val="3"/>
              <c:numFmt formatCode="General" sourceLinked="1"/>
              <c:txPr>
                <a:bodyPr/>
                <a:lstStyle/>
                <a:p>
                  <a:pPr lvl="0">
                    <a:defRPr b="0" i="0" sz="1000">
                      <a:solidFill>
                        <a:srgbClr val="000000"/>
                      </a:solidFill>
                      <a:latin typeface="Arial"/>
                    </a:defRPr>
                  </a:pPr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4"/>
              <c:numFmt formatCode="General" sourceLinked="1"/>
              <c:txPr>
                <a:bodyPr/>
                <a:lstStyle/>
                <a:p>
                  <a:pPr lvl="0">
                    <a:defRPr b="0" i="0" sz="1000">
                      <a:solidFill>
                        <a:srgbClr val="000000"/>
                      </a:solidFill>
                      <a:latin typeface="Arial"/>
                    </a:defRPr>
                  </a:pPr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5"/>
              <c:tx>
                <c:rich>
                  <a:bodyPr/>
                  <a:lstStyle/>
                  <a:p>
                    <a:pPr lvl="0">
                      <a:defRPr b="0" i="0" sz="1000">
                        <a:solidFill>
                          <a:srgbClr val="000000"/>
                        </a:solidFill>
                        <a:latin typeface="Roboto"/>
                      </a:defRPr>
                    </a:pPr>
                    <a:r>
                      <a:rPr b="0" i="0" sz="1000">
                        <a:solidFill>
                          <a:srgbClr val="000000"/>
                        </a:solidFill>
                        <a:latin typeface="Roboto"/>
                      </a:rPr>
                      <a:t>3.8</a:t>
                    </a:r>
                  </a:p>
                </c:rich>
              </c:tx>
              <c:numFmt formatCode="General" sourceLinked="1"/>
              <c:txPr>
                <a:bodyPr/>
                <a:lstStyle/>
                <a:p>
                  <a:pPr lvl="0">
                    <a:defRPr b="0" i="0" sz="1000">
                      <a:solidFill>
                        <a:srgbClr val="000000"/>
                      </a:solidFill>
                      <a:latin typeface="Arial"/>
                    </a:defRPr>
                  </a:pPr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</c:dLbl>
            <c:numFmt formatCode="General" sourceLinked="1"/>
            <c:txPr>
              <a:bodyPr/>
              <a:lstStyle/>
              <a:p>
                <a:pPr lvl="0">
                  <a:defRPr b="0" i="0" sz="1000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'Chart Calculations'!$A$57:$A$63</c:f>
            </c:strRef>
          </c:cat>
          <c:val>
            <c:numRef>
              <c:f>'Chart Calculations'!$F$31:$F$37</c:f>
              <c:numCache/>
            </c:numRef>
          </c:val>
        </c:ser>
        <c:ser>
          <c:idx val="1"/>
          <c:order val="1"/>
          <c:tx>
            <c:v>2021</c:v>
          </c:tx>
          <c:spPr>
            <a:solidFill>
              <a:srgbClr val="FBBC04"/>
            </a:solidFill>
            <a:ln cmpd="sng">
              <a:solidFill>
                <a:srgbClr val="000000"/>
              </a:solidFill>
            </a:ln>
          </c:spPr>
          <c:dPt>
            <c:idx val="3"/>
            <c:spPr>
              <a:solidFill>
                <a:srgbClr val="FBBC04"/>
              </a:solidFill>
              <a:ln cmpd="sng">
                <a:solidFill>
                  <a:srgbClr val="000000"/>
                </a:solidFill>
              </a:ln>
            </c:spPr>
          </c:dPt>
          <c:dPt>
            <c:idx val="4"/>
            <c:spPr>
              <a:solidFill>
                <a:srgbClr val="FBBC04"/>
              </a:solidFill>
              <a:ln cmpd="sng">
                <a:solidFill>
                  <a:srgbClr val="000000"/>
                </a:solidFill>
              </a:ln>
            </c:spPr>
          </c:dPt>
          <c:dPt>
            <c:idx val="5"/>
            <c:spPr>
              <a:solidFill>
                <a:srgbClr val="FBBC04"/>
              </a:solidFill>
              <a:ln cmpd="sng">
                <a:solidFill>
                  <a:srgbClr val="000000"/>
                </a:solidFill>
              </a:ln>
            </c:spPr>
          </c:dPt>
          <c:dLbls>
            <c:dLbl>
              <c:idx val="3"/>
              <c:numFmt formatCode="General" sourceLinked="1"/>
              <c:txPr>
                <a:bodyPr/>
                <a:lstStyle/>
                <a:p>
                  <a:pPr lvl="0">
                    <a:defRPr b="0" i="0" sz="1000">
                      <a:solidFill>
                        <a:srgbClr val="000000"/>
                      </a:solidFill>
                      <a:latin typeface="Arial"/>
                    </a:defRPr>
                  </a:pPr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4"/>
              <c:numFmt formatCode="General" sourceLinked="1"/>
              <c:txPr>
                <a:bodyPr/>
                <a:lstStyle/>
                <a:p>
                  <a:pPr lvl="0">
                    <a:defRPr b="0" i="0" sz="1000">
                      <a:solidFill>
                        <a:srgbClr val="000000"/>
                      </a:solidFill>
                      <a:latin typeface="Arial"/>
                    </a:defRPr>
                  </a:pPr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5"/>
              <c:tx>
                <c:rich>
                  <a:bodyPr/>
                  <a:lstStyle/>
                  <a:p>
                    <a:pPr lvl="0">
                      <a:defRPr b="0" i="0" sz="1000">
                        <a:solidFill>
                          <a:srgbClr val="000000"/>
                        </a:solidFill>
                        <a:latin typeface="Roboto"/>
                      </a:defRPr>
                    </a:pPr>
                    <a:r>
                      <a:rPr b="0" i="0" sz="1000">
                        <a:solidFill>
                          <a:srgbClr val="000000"/>
                        </a:solidFill>
                        <a:latin typeface="Roboto"/>
                      </a:rPr>
                      <a:t>3.5</a:t>
                    </a:r>
                  </a:p>
                </c:rich>
              </c:tx>
              <c:numFmt formatCode="General" sourceLinked="1"/>
              <c:txPr>
                <a:bodyPr/>
                <a:lstStyle/>
                <a:p>
                  <a:pPr lvl="0">
                    <a:defRPr b="0" i="0" sz="1000">
                      <a:solidFill>
                        <a:srgbClr val="000000"/>
                      </a:solidFill>
                      <a:latin typeface="Arial"/>
                    </a:defRPr>
                  </a:pPr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</c:dLbl>
            <c:numFmt formatCode="General" sourceLinked="1"/>
            <c:txPr>
              <a:bodyPr/>
              <a:lstStyle/>
              <a:p>
                <a:pPr lvl="0">
                  <a:defRPr b="0" i="0" sz="1000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'Chart Calculations'!$A$57:$A$63</c:f>
            </c:strRef>
          </c:cat>
          <c:val>
            <c:numRef>
              <c:f>'Chart Calculations'!$F$44:$F$50</c:f>
              <c:numCache/>
            </c:numRef>
          </c:val>
        </c:ser>
        <c:ser>
          <c:idx val="2"/>
          <c:order val="2"/>
          <c:tx>
            <c:v>2022</c:v>
          </c:tx>
          <c:spPr>
            <a:solidFill>
              <a:srgbClr val="34A853"/>
            </a:solidFill>
            <a:ln cmpd="sng">
              <a:solidFill>
                <a:srgbClr val="000000"/>
              </a:solidFill>
            </a:ln>
          </c:spPr>
          <c:dPt>
            <c:idx val="3"/>
            <c:spPr>
              <a:solidFill>
                <a:srgbClr val="34A853"/>
              </a:solidFill>
              <a:ln cmpd="sng">
                <a:solidFill>
                  <a:srgbClr val="000000"/>
                </a:solidFill>
              </a:ln>
            </c:spPr>
          </c:dPt>
          <c:dPt>
            <c:idx val="4"/>
            <c:spPr>
              <a:solidFill>
                <a:srgbClr val="34A853"/>
              </a:solidFill>
              <a:ln cmpd="sng">
                <a:solidFill>
                  <a:srgbClr val="000000"/>
                </a:solidFill>
              </a:ln>
            </c:spPr>
          </c:dPt>
          <c:dPt>
            <c:idx val="5"/>
            <c:spPr>
              <a:solidFill>
                <a:srgbClr val="34A853"/>
              </a:solidFill>
              <a:ln cmpd="sng">
                <a:solidFill>
                  <a:srgbClr val="000000"/>
                </a:solidFill>
              </a:ln>
            </c:spPr>
          </c:dPt>
          <c:dLbls>
            <c:dLbl>
              <c:idx val="3"/>
              <c:numFmt formatCode="General" sourceLinked="1"/>
              <c:txPr>
                <a:bodyPr/>
                <a:lstStyle/>
                <a:p>
                  <a:pPr lvl="0">
                    <a:defRPr b="0" i="0" sz="1000">
                      <a:solidFill>
                        <a:srgbClr val="000000"/>
                      </a:solidFill>
                      <a:latin typeface="Arial"/>
                    </a:defRPr>
                  </a:pPr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4"/>
              <c:numFmt formatCode="General" sourceLinked="1"/>
              <c:txPr>
                <a:bodyPr/>
                <a:lstStyle/>
                <a:p>
                  <a:pPr lvl="0">
                    <a:defRPr b="0" i="0" sz="1000">
                      <a:solidFill>
                        <a:srgbClr val="000000"/>
                      </a:solidFill>
                      <a:latin typeface="Arial"/>
                    </a:defRPr>
                  </a:pPr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5"/>
              <c:tx>
                <c:rich>
                  <a:bodyPr/>
                  <a:lstStyle/>
                  <a:p>
                    <a:pPr lvl="0">
                      <a:defRPr b="0" i="0" sz="1000">
                        <a:solidFill>
                          <a:srgbClr val="000000"/>
                        </a:solidFill>
                        <a:latin typeface="Roboto"/>
                      </a:defRPr>
                    </a:pPr>
                    <a:r>
                      <a:rPr b="0" i="0" sz="1000">
                        <a:solidFill>
                          <a:srgbClr val="000000"/>
                        </a:solidFill>
                        <a:latin typeface="Roboto"/>
                      </a:rPr>
                      <a:t>3.9</a:t>
                    </a:r>
                  </a:p>
                </c:rich>
              </c:tx>
              <c:numFmt formatCode="General" sourceLinked="1"/>
              <c:txPr>
                <a:bodyPr/>
                <a:lstStyle/>
                <a:p>
                  <a:pPr lvl="0">
                    <a:defRPr b="0" i="0" sz="1000">
                      <a:solidFill>
                        <a:srgbClr val="000000"/>
                      </a:solidFill>
                      <a:latin typeface="Arial"/>
                    </a:defRPr>
                  </a:pPr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</c:dLbl>
            <c:numFmt formatCode="General" sourceLinked="1"/>
            <c:txPr>
              <a:bodyPr/>
              <a:lstStyle/>
              <a:p>
                <a:pPr lvl="0">
                  <a:defRPr b="0" i="0" sz="1000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'Chart Calculations'!$A$57:$A$63</c:f>
            </c:strRef>
          </c:cat>
          <c:val>
            <c:numRef>
              <c:f>'Chart Calculations'!$F$57:$F$63</c:f>
              <c:numCache/>
            </c:numRef>
          </c:val>
        </c:ser>
        <c:axId val="1182076195"/>
        <c:axId val="1846471993"/>
      </c:barChart>
      <c:catAx>
        <c:axId val="118207619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 i="0" sz="1000">
                    <a:solidFill>
                      <a:srgbClr val="000000"/>
                    </a:solidFill>
                    <a:latin typeface="Arial"/>
                  </a:defRPr>
                </a:pPr>
                <a:r>
                  <a:rPr b="1" i="0" sz="1000">
                    <a:solidFill>
                      <a:srgbClr val="000000"/>
                    </a:solidFill>
                    <a:latin typeface="Arial"/>
                  </a:rPr>
                  <a:t>Macroinvertebrate Metrics</a:t>
                </a:r>
              </a:p>
            </c:rich>
          </c:tx>
          <c:overlay val="0"/>
        </c:title>
        <c:numFmt formatCode="General" sourceLinked="0"/>
        <c:majorTickMark val="none"/>
        <c:minorTickMark val="none"/>
        <c:spPr/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Arial"/>
              </a:defRPr>
            </a:pPr>
          </a:p>
        </c:txPr>
        <c:crossAx val="1846471993"/>
      </c:catAx>
      <c:valAx>
        <c:axId val="1846471993"/>
        <c:scaling>
          <c:orientation val="minMax"/>
          <c:max val="55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0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Arial"/>
              </a:defRPr>
            </a:pPr>
          </a:p>
        </c:txPr>
        <c:crossAx val="1182076195"/>
      </c:valAx>
    </c:plotArea>
    <c:legend>
      <c:legendPos val="r"/>
      <c:overlay val="0"/>
      <c:txPr>
        <a:bodyPr/>
        <a:lstStyle/>
        <a:p>
          <a:pPr lvl="0">
            <a:defRPr b="0" i="0" sz="1000">
              <a:solidFill>
                <a:srgbClr val="1A1A1A"/>
              </a:solidFill>
              <a:latin typeface="Arial"/>
            </a:defRPr>
          </a:pPr>
        </a:p>
      </c:txPr>
    </c:legend>
    <c:plotVisOnly val="1"/>
  </c:chart>
  <c:spPr>
    <a:solidFill>
      <a:srgbClr val="FFFFFF"/>
    </a:solidFill>
  </c:spPr>
</c:chartSpace>
</file>

<file path=xl/charts/chart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800">
                <a:solidFill>
                  <a:srgbClr val="757575"/>
                </a:solidFill>
                <a:latin typeface="Arial"/>
              </a:defRPr>
            </a:pPr>
            <a:r>
              <a:rPr b="1" i="0" sz="1800">
                <a:solidFill>
                  <a:srgbClr val="757575"/>
                </a:solidFill>
                <a:latin typeface="Arial"/>
              </a:rPr>
              <a:t>Mill Creek at Old Fort Biological Assessment Trends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v>2018</c:v>
          </c:tx>
          <c:spPr>
            <a:solidFill>
              <a:srgbClr val="4285F4"/>
            </a:solidFill>
            <a:ln cmpd="sng">
              <a:solidFill>
                <a:srgbClr val="000000"/>
              </a:solidFill>
            </a:ln>
          </c:spPr>
          <c:dPt>
            <c:idx val="3"/>
            <c:spPr>
              <a:solidFill>
                <a:srgbClr val="4285F4"/>
              </a:solidFill>
              <a:ln cmpd="sng">
                <a:solidFill>
                  <a:srgbClr val="000000"/>
                </a:solidFill>
              </a:ln>
            </c:spPr>
          </c:dPt>
          <c:dPt>
            <c:idx val="4"/>
            <c:spPr>
              <a:solidFill>
                <a:srgbClr val="4285F4"/>
              </a:solidFill>
              <a:ln cmpd="sng">
                <a:solidFill>
                  <a:srgbClr val="000000"/>
                </a:solidFill>
              </a:ln>
            </c:spPr>
          </c:dPt>
          <c:dPt>
            <c:idx val="5"/>
            <c:spPr>
              <a:solidFill>
                <a:srgbClr val="4285F4"/>
              </a:solidFill>
              <a:ln cmpd="sng">
                <a:solidFill>
                  <a:srgbClr val="000000"/>
                </a:solidFill>
              </a:ln>
            </c:spPr>
          </c:dPt>
          <c:dLbls>
            <c:dLbl>
              <c:idx val="3"/>
              <c:numFmt formatCode="General" sourceLinked="1"/>
              <c:txPr>
                <a:bodyPr/>
                <a:lstStyle/>
                <a:p>
                  <a:pPr lvl="0">
                    <a:defRPr b="0" i="0" sz="1000">
                      <a:solidFill>
                        <a:srgbClr val="000000"/>
                      </a:solidFill>
                      <a:latin typeface="Arial"/>
                    </a:defRPr>
                  </a:pPr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4"/>
              <c:numFmt formatCode="General" sourceLinked="1"/>
              <c:txPr>
                <a:bodyPr/>
                <a:lstStyle/>
                <a:p>
                  <a:pPr lvl="0">
                    <a:defRPr b="0" i="0" sz="1000">
                      <a:solidFill>
                        <a:srgbClr val="000000"/>
                      </a:solidFill>
                      <a:latin typeface="Arial"/>
                    </a:defRPr>
                  </a:pPr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5"/>
              <c:tx>
                <c:rich>
                  <a:bodyPr/>
                  <a:lstStyle/>
                  <a:p>
                    <a:pPr lvl="0">
                      <a:defRPr b="0" i="0" sz="1000">
                        <a:solidFill>
                          <a:srgbClr val="000000"/>
                        </a:solidFill>
                        <a:latin typeface="Roboto"/>
                      </a:defRPr>
                    </a:pPr>
                    <a:r>
                      <a:rPr b="0" i="0" sz="1000">
                        <a:solidFill>
                          <a:srgbClr val="000000"/>
                        </a:solidFill>
                        <a:latin typeface="Roboto"/>
                      </a:rPr>
                      <a:t>2.6</a:t>
                    </a:r>
                  </a:p>
                </c:rich>
              </c:tx>
              <c:numFmt formatCode="General" sourceLinked="1"/>
              <c:txPr>
                <a:bodyPr/>
                <a:lstStyle/>
                <a:p>
                  <a:pPr lvl="0">
                    <a:defRPr b="0" i="0" sz="1000">
                      <a:solidFill>
                        <a:srgbClr val="000000"/>
                      </a:solidFill>
                      <a:latin typeface="Arial"/>
                    </a:defRPr>
                  </a:pPr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</c:dLbl>
            <c:numFmt formatCode="General" sourceLinked="1"/>
            <c:txPr>
              <a:bodyPr/>
              <a:lstStyle/>
              <a:p>
                <a:pPr lvl="0">
                  <a:defRPr b="0" i="0" sz="1000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'Chart Calculations'!$A$57:$A$63</c:f>
            </c:strRef>
          </c:cat>
          <c:val>
            <c:numRef>
              <c:f>'Chart Calculations'!$G$4:$G$10</c:f>
              <c:numCache/>
            </c:numRef>
          </c:val>
        </c:ser>
        <c:ser>
          <c:idx val="1"/>
          <c:order val="1"/>
          <c:tx>
            <c:v>2019</c:v>
          </c:tx>
          <c:spPr>
            <a:solidFill>
              <a:srgbClr val="EA9999"/>
            </a:solidFill>
            <a:ln cmpd="sng">
              <a:solidFill>
                <a:srgbClr val="000000"/>
              </a:solidFill>
            </a:ln>
          </c:spPr>
          <c:dPt>
            <c:idx val="2"/>
            <c:spPr>
              <a:solidFill>
                <a:srgbClr val="EA9999"/>
              </a:solidFill>
              <a:ln cmpd="sng">
                <a:solidFill>
                  <a:srgbClr val="000000"/>
                </a:solidFill>
              </a:ln>
            </c:spPr>
          </c:dPt>
          <c:dPt>
            <c:idx val="3"/>
            <c:spPr>
              <a:solidFill>
                <a:srgbClr val="EA9999"/>
              </a:solidFill>
              <a:ln cmpd="sng">
                <a:solidFill>
                  <a:srgbClr val="000000"/>
                </a:solidFill>
              </a:ln>
            </c:spPr>
          </c:dPt>
          <c:dPt>
            <c:idx val="4"/>
            <c:spPr>
              <a:solidFill>
                <a:srgbClr val="EA9999"/>
              </a:solidFill>
              <a:ln cmpd="sng">
                <a:solidFill>
                  <a:srgbClr val="000000"/>
                </a:solidFill>
              </a:ln>
            </c:spPr>
          </c:dPt>
          <c:dPt>
            <c:idx val="5"/>
            <c:spPr>
              <a:solidFill>
                <a:srgbClr val="EA9999"/>
              </a:solidFill>
              <a:ln cmpd="sng">
                <a:solidFill>
                  <a:srgbClr val="000000"/>
                </a:solidFill>
              </a:ln>
            </c:spPr>
          </c:dPt>
          <c:dLbls>
            <c:dLbl>
              <c:idx val="2"/>
              <c:numFmt formatCode="General" sourceLinked="1"/>
              <c:txPr>
                <a:bodyPr/>
                <a:lstStyle/>
                <a:p>
                  <a:pPr lvl="0">
                    <a:defRPr b="0" i="0" sz="1000">
                      <a:solidFill>
                        <a:srgbClr val="000000"/>
                      </a:solidFill>
                      <a:latin typeface="Arial"/>
                    </a:defRPr>
                  </a:pPr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3"/>
              <c:numFmt formatCode="General" sourceLinked="1"/>
              <c:txPr>
                <a:bodyPr/>
                <a:lstStyle/>
                <a:p>
                  <a:pPr lvl="0">
                    <a:defRPr b="0" i="0" sz="1000">
                      <a:solidFill>
                        <a:srgbClr val="000000"/>
                      </a:solidFill>
                      <a:latin typeface="Arial"/>
                    </a:defRPr>
                  </a:pPr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4"/>
              <c:numFmt formatCode="General" sourceLinked="1"/>
              <c:txPr>
                <a:bodyPr/>
                <a:lstStyle/>
                <a:p>
                  <a:pPr lvl="0">
                    <a:defRPr b="0" i="0" sz="1000">
                      <a:solidFill>
                        <a:srgbClr val="000000"/>
                      </a:solidFill>
                      <a:latin typeface="Arial"/>
                    </a:defRPr>
                  </a:pPr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5"/>
              <c:tx>
                <c:rich>
                  <a:bodyPr/>
                  <a:lstStyle/>
                  <a:p>
                    <a:pPr lvl="0">
                      <a:defRPr b="0" i="0" sz="1000">
                        <a:solidFill>
                          <a:srgbClr val="000000"/>
                        </a:solidFill>
                        <a:latin typeface="Roboto"/>
                      </a:defRPr>
                    </a:pPr>
                    <a:r>
                      <a:rPr b="0" i="0" sz="1000">
                        <a:solidFill>
                          <a:srgbClr val="000000"/>
                        </a:solidFill>
                        <a:latin typeface="Roboto"/>
                      </a:rPr>
                      <a:t>2.7</a:t>
                    </a:r>
                  </a:p>
                </c:rich>
              </c:tx>
              <c:numFmt formatCode="General" sourceLinked="1"/>
              <c:txPr>
                <a:bodyPr/>
                <a:lstStyle/>
                <a:p>
                  <a:pPr lvl="0">
                    <a:defRPr b="0" i="0" sz="1000">
                      <a:solidFill>
                        <a:srgbClr val="000000"/>
                      </a:solidFill>
                      <a:latin typeface="Arial"/>
                    </a:defRPr>
                  </a:pPr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</c:dLbl>
            <c:numFmt formatCode="General" sourceLinked="1"/>
            <c:txPr>
              <a:bodyPr/>
              <a:lstStyle/>
              <a:p>
                <a:pPr lvl="0">
                  <a:defRPr b="0" i="0" sz="1000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'Chart Calculations'!$A$57:$A$63</c:f>
            </c:strRef>
          </c:cat>
          <c:val>
            <c:numRef>
              <c:f>'Chart Calculations'!$G$17:$G$23</c:f>
              <c:numCache/>
            </c:numRef>
          </c:val>
        </c:ser>
        <c:ser>
          <c:idx val="2"/>
          <c:order val="2"/>
          <c:tx>
            <c:v>2020</c:v>
          </c:tx>
          <c:spPr>
            <a:solidFill>
              <a:srgbClr val="EA4335"/>
            </a:solidFill>
            <a:ln cmpd="sng">
              <a:solidFill>
                <a:srgbClr val="000000"/>
              </a:solidFill>
            </a:ln>
          </c:spPr>
          <c:dPt>
            <c:idx val="3"/>
            <c:spPr>
              <a:solidFill>
                <a:srgbClr val="EA4335"/>
              </a:solidFill>
              <a:ln cmpd="sng">
                <a:solidFill>
                  <a:srgbClr val="000000"/>
                </a:solidFill>
              </a:ln>
            </c:spPr>
          </c:dPt>
          <c:dPt>
            <c:idx val="4"/>
            <c:spPr>
              <a:solidFill>
                <a:srgbClr val="EA4335"/>
              </a:solidFill>
              <a:ln cmpd="sng">
                <a:solidFill>
                  <a:srgbClr val="000000"/>
                </a:solidFill>
              </a:ln>
            </c:spPr>
          </c:dPt>
          <c:dPt>
            <c:idx val="5"/>
            <c:spPr>
              <a:solidFill>
                <a:srgbClr val="EA4335"/>
              </a:solidFill>
              <a:ln cmpd="sng">
                <a:solidFill>
                  <a:srgbClr val="000000"/>
                </a:solidFill>
              </a:ln>
            </c:spPr>
          </c:dPt>
          <c:dLbls>
            <c:dLbl>
              <c:idx val="3"/>
              <c:numFmt formatCode="General" sourceLinked="1"/>
              <c:txPr>
                <a:bodyPr/>
                <a:lstStyle/>
                <a:p>
                  <a:pPr lvl="0">
                    <a:defRPr b="0" i="0" sz="1000">
                      <a:solidFill>
                        <a:srgbClr val="000000"/>
                      </a:solidFill>
                      <a:latin typeface="Arial"/>
                    </a:defRPr>
                  </a:pPr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4"/>
              <c:numFmt formatCode="General" sourceLinked="1"/>
              <c:txPr>
                <a:bodyPr/>
                <a:lstStyle/>
                <a:p>
                  <a:pPr lvl="0">
                    <a:defRPr b="0" i="0" sz="1000">
                      <a:solidFill>
                        <a:srgbClr val="000000"/>
                      </a:solidFill>
                      <a:latin typeface="Arial"/>
                    </a:defRPr>
                  </a:pPr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5"/>
              <c:tx>
                <c:rich>
                  <a:bodyPr/>
                  <a:lstStyle/>
                  <a:p>
                    <a:pPr lvl="0">
                      <a:defRPr b="0" i="0" sz="1000">
                        <a:solidFill>
                          <a:srgbClr val="000000"/>
                        </a:solidFill>
                        <a:latin typeface="Roboto"/>
                      </a:defRPr>
                    </a:pPr>
                    <a:r>
                      <a:rPr b="0" i="0" sz="1000">
                        <a:solidFill>
                          <a:srgbClr val="000000"/>
                        </a:solidFill>
                        <a:latin typeface="Roboto"/>
                      </a:rPr>
                      <a:t>3.8</a:t>
                    </a:r>
                  </a:p>
                </c:rich>
              </c:tx>
              <c:numFmt formatCode="General" sourceLinked="1"/>
              <c:txPr>
                <a:bodyPr/>
                <a:lstStyle/>
                <a:p>
                  <a:pPr lvl="0">
                    <a:defRPr b="0" i="0" sz="1000">
                      <a:solidFill>
                        <a:srgbClr val="000000"/>
                      </a:solidFill>
                      <a:latin typeface="Arial"/>
                    </a:defRPr>
                  </a:pPr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</c:dLbl>
            <c:numFmt formatCode="General" sourceLinked="1"/>
            <c:txPr>
              <a:bodyPr/>
              <a:lstStyle/>
              <a:p>
                <a:pPr lvl="0">
                  <a:defRPr b="0" i="0" sz="1000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'Chart Calculations'!$A$57:$A$63</c:f>
            </c:strRef>
          </c:cat>
          <c:val>
            <c:numRef>
              <c:f>'Chart Calculations'!$G$31:$G$37</c:f>
              <c:numCache/>
            </c:numRef>
          </c:val>
        </c:ser>
        <c:ser>
          <c:idx val="3"/>
          <c:order val="3"/>
          <c:tx>
            <c:v>2022</c:v>
          </c:tx>
          <c:spPr>
            <a:solidFill>
              <a:srgbClr val="FBBC04"/>
            </a:solidFill>
            <a:ln cmpd="sng">
              <a:solidFill>
                <a:srgbClr val="000000"/>
              </a:solidFill>
            </a:ln>
          </c:spPr>
          <c:dPt>
            <c:idx val="3"/>
            <c:spPr>
              <a:solidFill>
                <a:srgbClr val="FBBC04"/>
              </a:solidFill>
              <a:ln cmpd="sng">
                <a:solidFill>
                  <a:srgbClr val="000000"/>
                </a:solidFill>
              </a:ln>
            </c:spPr>
          </c:dPt>
          <c:dPt>
            <c:idx val="4"/>
            <c:spPr>
              <a:solidFill>
                <a:srgbClr val="FBBC04"/>
              </a:solidFill>
              <a:ln cmpd="sng">
                <a:solidFill>
                  <a:srgbClr val="000000"/>
                </a:solidFill>
              </a:ln>
            </c:spPr>
          </c:dPt>
          <c:dPt>
            <c:idx val="5"/>
            <c:spPr>
              <a:solidFill>
                <a:srgbClr val="FBBC04"/>
              </a:solidFill>
              <a:ln cmpd="sng">
                <a:solidFill>
                  <a:srgbClr val="000000"/>
                </a:solidFill>
              </a:ln>
            </c:spPr>
          </c:dPt>
          <c:dLbls>
            <c:dLbl>
              <c:idx val="3"/>
              <c:numFmt formatCode="General" sourceLinked="1"/>
              <c:txPr>
                <a:bodyPr/>
                <a:lstStyle/>
                <a:p>
                  <a:pPr lvl="0">
                    <a:defRPr b="0" i="0" sz="1000">
                      <a:solidFill>
                        <a:srgbClr val="000000"/>
                      </a:solidFill>
                      <a:latin typeface="Arial"/>
                    </a:defRPr>
                  </a:pPr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4"/>
              <c:numFmt formatCode="General" sourceLinked="1"/>
              <c:txPr>
                <a:bodyPr/>
                <a:lstStyle/>
                <a:p>
                  <a:pPr lvl="0">
                    <a:defRPr b="0" i="0" sz="1000">
                      <a:solidFill>
                        <a:srgbClr val="000000"/>
                      </a:solidFill>
                      <a:latin typeface="Arial"/>
                    </a:defRPr>
                  </a:pPr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5"/>
              <c:tx>
                <c:rich>
                  <a:bodyPr/>
                  <a:lstStyle/>
                  <a:p>
                    <a:pPr lvl="0">
                      <a:defRPr b="0" i="0" sz="1000">
                        <a:solidFill>
                          <a:srgbClr val="000000"/>
                        </a:solidFill>
                        <a:latin typeface="Roboto"/>
                      </a:defRPr>
                    </a:pPr>
                    <a:r>
                      <a:rPr b="0" i="0" sz="1000">
                        <a:solidFill>
                          <a:srgbClr val="000000"/>
                        </a:solidFill>
                        <a:latin typeface="Roboto"/>
                      </a:rPr>
                      <a:t>3.2</a:t>
                    </a:r>
                  </a:p>
                </c:rich>
              </c:tx>
              <c:numFmt formatCode="General" sourceLinked="1"/>
              <c:txPr>
                <a:bodyPr/>
                <a:lstStyle/>
                <a:p>
                  <a:pPr lvl="0">
                    <a:defRPr b="0" i="0" sz="1000">
                      <a:solidFill>
                        <a:srgbClr val="000000"/>
                      </a:solidFill>
                      <a:latin typeface="Arial"/>
                    </a:defRPr>
                  </a:pPr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</c:dLbl>
            <c:numFmt formatCode="General" sourceLinked="1"/>
            <c:txPr>
              <a:bodyPr/>
              <a:lstStyle/>
              <a:p>
                <a:pPr lvl="0">
                  <a:defRPr b="0" i="0" sz="1000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'Chart Calculations'!$A$57:$A$63</c:f>
            </c:strRef>
          </c:cat>
          <c:val>
            <c:numRef>
              <c:f>'Chart Calculations'!$G$44:$G$50</c:f>
              <c:numCache/>
            </c:numRef>
          </c:val>
        </c:ser>
        <c:ser>
          <c:idx val="4"/>
          <c:order val="4"/>
          <c:tx>
            <c:v>2022</c:v>
          </c:tx>
          <c:spPr>
            <a:solidFill>
              <a:srgbClr val="34A853"/>
            </a:solidFill>
            <a:ln cmpd="sng">
              <a:solidFill>
                <a:srgbClr val="000000"/>
              </a:solidFill>
            </a:ln>
          </c:spPr>
          <c:dPt>
            <c:idx val="0"/>
            <c:spPr>
              <a:solidFill>
                <a:srgbClr val="34A853"/>
              </a:solidFill>
              <a:ln cmpd="sng">
                <a:solidFill>
                  <a:srgbClr val="000000"/>
                </a:solidFill>
              </a:ln>
            </c:spPr>
          </c:dPt>
          <c:dPt>
            <c:idx val="5"/>
            <c:spPr>
              <a:solidFill>
                <a:srgbClr val="34A853"/>
              </a:solidFill>
              <a:ln cmpd="sng">
                <a:solidFill>
                  <a:srgbClr val="000000"/>
                </a:solidFill>
              </a:ln>
            </c:spPr>
          </c:dPt>
          <c:dLbls>
            <c:dLbl>
              <c:idx val="0"/>
              <c:numFmt formatCode="General" sourceLinked="1"/>
              <c:txPr>
                <a:bodyPr/>
                <a:lstStyle/>
                <a:p>
                  <a:pPr lvl="0">
                    <a:defRPr b="0" i="0" sz="1000">
                      <a:solidFill>
                        <a:srgbClr val="000000"/>
                      </a:solidFill>
                      <a:latin typeface="Arial"/>
                    </a:defRPr>
                  </a:pPr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5"/>
              <c:numFmt formatCode="General" sourceLinked="1"/>
              <c:txPr>
                <a:bodyPr/>
                <a:lstStyle/>
                <a:p>
                  <a:pPr lvl="0">
                    <a:defRPr b="0" i="0" sz="1000">
                      <a:solidFill>
                        <a:srgbClr val="000000"/>
                      </a:solidFill>
                      <a:latin typeface="Arial"/>
                    </a:defRPr>
                  </a:pPr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</c:dLbl>
            <c:numFmt formatCode="General" sourceLinked="1"/>
            <c:txPr>
              <a:bodyPr/>
              <a:lstStyle/>
              <a:p>
                <a:pPr lvl="0">
                  <a:defRPr b="0" i="0" sz="1000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'Chart Calculations'!$A$57:$A$63</c:f>
            </c:strRef>
          </c:cat>
          <c:val>
            <c:numRef>
              <c:f>'Chart Calculations'!$G$57:$G$63</c:f>
              <c:numCache/>
            </c:numRef>
          </c:val>
        </c:ser>
        <c:axId val="405765651"/>
        <c:axId val="627022582"/>
      </c:barChart>
      <c:catAx>
        <c:axId val="40576565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 i="0" sz="1000">
                    <a:solidFill>
                      <a:srgbClr val="000000"/>
                    </a:solidFill>
                    <a:latin typeface="Arial"/>
                  </a:defRPr>
                </a:pPr>
                <a:r>
                  <a:rPr b="1" i="0" sz="1000">
                    <a:solidFill>
                      <a:srgbClr val="000000"/>
                    </a:solidFill>
                    <a:latin typeface="Arial"/>
                  </a:rPr>
                  <a:t>Macroinvertebrate Metrics</a:t>
                </a:r>
              </a:p>
            </c:rich>
          </c:tx>
          <c:overlay val="0"/>
        </c:title>
        <c:numFmt formatCode="General" sourceLinked="0"/>
        <c:majorTickMark val="none"/>
        <c:minorTickMark val="none"/>
        <c:spPr/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Arial"/>
              </a:defRPr>
            </a:pPr>
          </a:p>
        </c:txPr>
        <c:crossAx val="627022582"/>
      </c:catAx>
      <c:valAx>
        <c:axId val="627022582"/>
        <c:scaling>
          <c:orientation val="minMax"/>
          <c:max val="150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0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Arial"/>
              </a:defRPr>
            </a:pPr>
          </a:p>
        </c:txPr>
        <c:crossAx val="405765651"/>
      </c:valAx>
    </c:plotArea>
    <c:legend>
      <c:legendPos val="r"/>
      <c:overlay val="0"/>
      <c:txPr>
        <a:bodyPr/>
        <a:lstStyle/>
        <a:p>
          <a:pPr lvl="0">
            <a:defRPr b="0" i="0" sz="1000">
              <a:solidFill>
                <a:srgbClr val="1A1A1A"/>
              </a:solidFill>
              <a:latin typeface="Arial"/>
            </a:defRPr>
          </a:pPr>
        </a:p>
      </c:txPr>
    </c:legend>
    <c:plotVisOnly val="1"/>
  </c:chart>
  <c:spPr>
    <a:solidFill>
      <a:srgbClr val="FFFFFF"/>
    </a:solidFill>
  </c:spPr>
</c:chartSpace>
</file>

<file path=xl/charts/chart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800">
                <a:solidFill>
                  <a:srgbClr val="757575"/>
                </a:solidFill>
                <a:latin typeface="Arial"/>
              </a:defRPr>
            </a:pPr>
            <a:r>
              <a:rPr b="1" i="0" sz="1800">
                <a:solidFill>
                  <a:srgbClr val="757575"/>
                </a:solidFill>
                <a:latin typeface="Arial"/>
              </a:rPr>
              <a:t>Crooked Creek at McHone Dr Biological Assessment Trends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v>2018</c:v>
          </c:tx>
          <c:spPr>
            <a:solidFill>
              <a:srgbClr val="4285F4"/>
            </a:solidFill>
            <a:ln cmpd="sng">
              <a:solidFill>
                <a:srgbClr val="000000"/>
              </a:solidFill>
            </a:ln>
          </c:spPr>
          <c:dPt>
            <c:idx val="3"/>
            <c:spPr>
              <a:solidFill>
                <a:srgbClr val="4285F4"/>
              </a:solidFill>
              <a:ln cmpd="sng">
                <a:solidFill>
                  <a:srgbClr val="000000"/>
                </a:solidFill>
              </a:ln>
            </c:spPr>
          </c:dPt>
          <c:dPt>
            <c:idx val="4"/>
            <c:spPr>
              <a:solidFill>
                <a:srgbClr val="4285F4"/>
              </a:solidFill>
              <a:ln cmpd="sng">
                <a:solidFill>
                  <a:srgbClr val="000000"/>
                </a:solidFill>
              </a:ln>
            </c:spPr>
          </c:dPt>
          <c:dPt>
            <c:idx val="5"/>
            <c:spPr>
              <a:solidFill>
                <a:srgbClr val="4285F4"/>
              </a:solidFill>
              <a:ln cmpd="sng">
                <a:solidFill>
                  <a:srgbClr val="000000"/>
                </a:solidFill>
              </a:ln>
            </c:spPr>
          </c:dPt>
          <c:dLbls>
            <c:dLbl>
              <c:idx val="3"/>
              <c:numFmt formatCode="General" sourceLinked="1"/>
              <c:txPr>
                <a:bodyPr/>
                <a:lstStyle/>
                <a:p>
                  <a:pPr lvl="0">
                    <a:defRPr b="0" i="0" sz="1000">
                      <a:solidFill>
                        <a:srgbClr val="000000"/>
                      </a:solidFill>
                      <a:latin typeface="Arial"/>
                    </a:defRPr>
                  </a:pPr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4"/>
              <c:numFmt formatCode="General" sourceLinked="1"/>
              <c:txPr>
                <a:bodyPr/>
                <a:lstStyle/>
                <a:p>
                  <a:pPr lvl="0">
                    <a:defRPr b="0" i="0" sz="1000">
                      <a:solidFill>
                        <a:srgbClr val="000000"/>
                      </a:solidFill>
                      <a:latin typeface="Arial"/>
                    </a:defRPr>
                  </a:pPr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5"/>
              <c:tx>
                <c:rich>
                  <a:bodyPr/>
                  <a:lstStyle/>
                  <a:p>
                    <a:pPr lvl="0">
                      <a:defRPr b="0" i="0" sz="1000">
                        <a:solidFill>
                          <a:srgbClr val="000000"/>
                        </a:solidFill>
                        <a:latin typeface="Roboto"/>
                      </a:defRPr>
                    </a:pPr>
                    <a:r>
                      <a:rPr b="0" i="0" sz="1000">
                        <a:solidFill>
                          <a:srgbClr val="000000"/>
                        </a:solidFill>
                        <a:latin typeface="Roboto"/>
                      </a:rPr>
                      <a:t>4.0</a:t>
                    </a:r>
                  </a:p>
                </c:rich>
              </c:tx>
              <c:numFmt formatCode="General" sourceLinked="1"/>
              <c:txPr>
                <a:bodyPr/>
                <a:lstStyle/>
                <a:p>
                  <a:pPr lvl="0">
                    <a:defRPr b="0" i="0" sz="1000">
                      <a:solidFill>
                        <a:srgbClr val="000000"/>
                      </a:solidFill>
                      <a:latin typeface="Arial"/>
                    </a:defRPr>
                  </a:pPr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</c:dLbl>
            <c:numFmt formatCode="General" sourceLinked="1"/>
            <c:txPr>
              <a:bodyPr/>
              <a:lstStyle/>
              <a:p>
                <a:pPr lvl="0">
                  <a:defRPr b="0" i="0" sz="1000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'Chart Calculations'!$A$57:$A$63</c:f>
            </c:strRef>
          </c:cat>
          <c:val>
            <c:numRef>
              <c:f>'Chart Calculations'!$H$4:$H$10</c:f>
              <c:numCache/>
            </c:numRef>
          </c:val>
        </c:ser>
        <c:ser>
          <c:idx val="1"/>
          <c:order val="1"/>
          <c:tx>
            <c:v>2019</c:v>
          </c:tx>
          <c:spPr>
            <a:solidFill>
              <a:srgbClr val="EA9999"/>
            </a:solidFill>
            <a:ln cmpd="sng">
              <a:solidFill>
                <a:srgbClr val="000000"/>
              </a:solidFill>
            </a:ln>
          </c:spPr>
          <c:dPt>
            <c:idx val="2"/>
            <c:spPr>
              <a:solidFill>
                <a:srgbClr val="EA9999"/>
              </a:solidFill>
              <a:ln cmpd="sng">
                <a:solidFill>
                  <a:srgbClr val="000000"/>
                </a:solidFill>
              </a:ln>
            </c:spPr>
          </c:dPt>
          <c:dPt>
            <c:idx val="3"/>
            <c:spPr>
              <a:solidFill>
                <a:srgbClr val="EA9999"/>
              </a:solidFill>
              <a:ln cmpd="sng">
                <a:solidFill>
                  <a:srgbClr val="000000"/>
                </a:solidFill>
              </a:ln>
            </c:spPr>
          </c:dPt>
          <c:dPt>
            <c:idx val="4"/>
            <c:spPr>
              <a:solidFill>
                <a:srgbClr val="EA9999"/>
              </a:solidFill>
              <a:ln cmpd="sng">
                <a:solidFill>
                  <a:srgbClr val="000000"/>
                </a:solidFill>
              </a:ln>
            </c:spPr>
          </c:dPt>
          <c:dPt>
            <c:idx val="5"/>
            <c:spPr>
              <a:solidFill>
                <a:srgbClr val="EA9999"/>
              </a:solidFill>
              <a:ln cmpd="sng">
                <a:solidFill>
                  <a:srgbClr val="000000"/>
                </a:solidFill>
              </a:ln>
            </c:spPr>
          </c:dPt>
          <c:dLbls>
            <c:dLbl>
              <c:idx val="2"/>
              <c:numFmt formatCode="General" sourceLinked="1"/>
              <c:txPr>
                <a:bodyPr/>
                <a:lstStyle/>
                <a:p>
                  <a:pPr lvl="0">
                    <a:defRPr b="0" i="0" sz="1000">
                      <a:solidFill>
                        <a:srgbClr val="000000"/>
                      </a:solidFill>
                      <a:latin typeface="Arial"/>
                    </a:defRPr>
                  </a:pPr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3"/>
              <c:numFmt formatCode="General" sourceLinked="1"/>
              <c:txPr>
                <a:bodyPr/>
                <a:lstStyle/>
                <a:p>
                  <a:pPr lvl="0">
                    <a:defRPr b="0" i="0" sz="1000">
                      <a:solidFill>
                        <a:srgbClr val="000000"/>
                      </a:solidFill>
                      <a:latin typeface="Arial"/>
                    </a:defRPr>
                  </a:pPr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4"/>
              <c:numFmt formatCode="General" sourceLinked="1"/>
              <c:txPr>
                <a:bodyPr/>
                <a:lstStyle/>
                <a:p>
                  <a:pPr lvl="0">
                    <a:defRPr b="0" i="0" sz="1000">
                      <a:solidFill>
                        <a:srgbClr val="000000"/>
                      </a:solidFill>
                      <a:latin typeface="Arial"/>
                    </a:defRPr>
                  </a:pPr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5"/>
              <c:tx>
                <c:rich>
                  <a:bodyPr/>
                  <a:lstStyle/>
                  <a:p>
                    <a:pPr lvl="0">
                      <a:defRPr b="0" i="0" sz="1000">
                        <a:solidFill>
                          <a:srgbClr val="000000"/>
                        </a:solidFill>
                        <a:latin typeface="Roboto"/>
                      </a:defRPr>
                    </a:pPr>
                    <a:r>
                      <a:rPr b="0" i="0" sz="1000">
                        <a:solidFill>
                          <a:srgbClr val="000000"/>
                        </a:solidFill>
                        <a:latin typeface="Roboto"/>
                      </a:rPr>
                      <a:t>3.7</a:t>
                    </a:r>
                  </a:p>
                </c:rich>
              </c:tx>
              <c:numFmt formatCode="General" sourceLinked="1"/>
              <c:txPr>
                <a:bodyPr/>
                <a:lstStyle/>
                <a:p>
                  <a:pPr lvl="0">
                    <a:defRPr b="0" i="0" sz="1000">
                      <a:solidFill>
                        <a:srgbClr val="000000"/>
                      </a:solidFill>
                      <a:latin typeface="Arial"/>
                    </a:defRPr>
                  </a:pPr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</c:dLbl>
            <c:numFmt formatCode="General" sourceLinked="1"/>
            <c:txPr>
              <a:bodyPr/>
              <a:lstStyle/>
              <a:p>
                <a:pPr lvl="0">
                  <a:defRPr b="0" i="0" sz="1000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'Chart Calculations'!$A$57:$A$63</c:f>
            </c:strRef>
          </c:cat>
          <c:val>
            <c:numRef>
              <c:f>'Chart Calculations'!$H$17:$H$23</c:f>
              <c:numCache/>
            </c:numRef>
          </c:val>
        </c:ser>
        <c:ser>
          <c:idx val="2"/>
          <c:order val="2"/>
          <c:tx>
            <c:v>2020</c:v>
          </c:tx>
          <c:spPr>
            <a:solidFill>
              <a:srgbClr val="EA4335"/>
            </a:solidFill>
            <a:ln cmpd="sng">
              <a:solidFill>
                <a:srgbClr val="000000"/>
              </a:solidFill>
            </a:ln>
          </c:spPr>
          <c:dPt>
            <c:idx val="3"/>
            <c:spPr>
              <a:solidFill>
                <a:srgbClr val="EA4335"/>
              </a:solidFill>
              <a:ln cmpd="sng">
                <a:solidFill>
                  <a:srgbClr val="000000"/>
                </a:solidFill>
              </a:ln>
            </c:spPr>
          </c:dPt>
          <c:dPt>
            <c:idx val="4"/>
            <c:spPr>
              <a:solidFill>
                <a:srgbClr val="EA4335"/>
              </a:solidFill>
              <a:ln cmpd="sng">
                <a:solidFill>
                  <a:srgbClr val="000000"/>
                </a:solidFill>
              </a:ln>
            </c:spPr>
          </c:dPt>
          <c:dPt>
            <c:idx val="5"/>
            <c:spPr>
              <a:solidFill>
                <a:srgbClr val="EA4335"/>
              </a:solidFill>
              <a:ln cmpd="sng">
                <a:solidFill>
                  <a:srgbClr val="000000"/>
                </a:solidFill>
              </a:ln>
            </c:spPr>
          </c:dPt>
          <c:dLbls>
            <c:dLbl>
              <c:idx val="3"/>
              <c:numFmt formatCode="General" sourceLinked="1"/>
              <c:txPr>
                <a:bodyPr/>
                <a:lstStyle/>
                <a:p>
                  <a:pPr lvl="0">
                    <a:defRPr b="0" i="0" sz="1000">
                      <a:solidFill>
                        <a:srgbClr val="000000"/>
                      </a:solidFill>
                      <a:latin typeface="Arial"/>
                    </a:defRPr>
                  </a:pPr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4"/>
              <c:numFmt formatCode="General" sourceLinked="1"/>
              <c:txPr>
                <a:bodyPr/>
                <a:lstStyle/>
                <a:p>
                  <a:pPr lvl="0">
                    <a:defRPr b="0" i="0" sz="1000">
                      <a:solidFill>
                        <a:srgbClr val="000000"/>
                      </a:solidFill>
                      <a:latin typeface="Arial"/>
                    </a:defRPr>
                  </a:pPr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5"/>
              <c:tx>
                <c:rich>
                  <a:bodyPr/>
                  <a:lstStyle/>
                  <a:p>
                    <a:pPr lvl="0">
                      <a:defRPr b="0" i="0" sz="1000">
                        <a:solidFill>
                          <a:srgbClr val="000000"/>
                        </a:solidFill>
                        <a:latin typeface="Roboto"/>
                      </a:defRPr>
                    </a:pPr>
                    <a:r>
                      <a:rPr b="0" i="0" sz="1000">
                        <a:solidFill>
                          <a:srgbClr val="000000"/>
                        </a:solidFill>
                        <a:latin typeface="Roboto"/>
                      </a:rPr>
                      <a:t>3.6</a:t>
                    </a:r>
                  </a:p>
                </c:rich>
              </c:tx>
              <c:numFmt formatCode="General" sourceLinked="1"/>
              <c:txPr>
                <a:bodyPr/>
                <a:lstStyle/>
                <a:p>
                  <a:pPr lvl="0">
                    <a:defRPr b="0" i="0" sz="1000">
                      <a:solidFill>
                        <a:srgbClr val="000000"/>
                      </a:solidFill>
                      <a:latin typeface="Arial"/>
                    </a:defRPr>
                  </a:pPr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</c:dLbl>
            <c:numFmt formatCode="General" sourceLinked="1"/>
            <c:txPr>
              <a:bodyPr/>
              <a:lstStyle/>
              <a:p>
                <a:pPr lvl="0">
                  <a:defRPr b="0" i="0" sz="1000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'Chart Calculations'!$A$57:$A$63</c:f>
            </c:strRef>
          </c:cat>
          <c:val>
            <c:numRef>
              <c:f>'Chart Calculations'!$H$31:$H$37</c:f>
              <c:numCache/>
            </c:numRef>
          </c:val>
        </c:ser>
        <c:ser>
          <c:idx val="3"/>
          <c:order val="3"/>
          <c:tx>
            <c:v>2021</c:v>
          </c:tx>
          <c:spPr>
            <a:solidFill>
              <a:srgbClr val="FBBC04"/>
            </a:solidFill>
            <a:ln cmpd="sng">
              <a:solidFill>
                <a:srgbClr val="000000"/>
              </a:solidFill>
            </a:ln>
          </c:spPr>
          <c:dPt>
            <c:idx val="3"/>
            <c:spPr>
              <a:solidFill>
                <a:srgbClr val="FBBC04"/>
              </a:solidFill>
              <a:ln cmpd="sng">
                <a:solidFill>
                  <a:srgbClr val="000000"/>
                </a:solidFill>
              </a:ln>
            </c:spPr>
          </c:dPt>
          <c:dPt>
            <c:idx val="4"/>
            <c:spPr>
              <a:solidFill>
                <a:srgbClr val="FBBC04"/>
              </a:solidFill>
              <a:ln cmpd="sng">
                <a:solidFill>
                  <a:srgbClr val="000000"/>
                </a:solidFill>
              </a:ln>
            </c:spPr>
          </c:dPt>
          <c:dPt>
            <c:idx val="5"/>
            <c:spPr>
              <a:solidFill>
                <a:srgbClr val="FBBC04"/>
              </a:solidFill>
              <a:ln cmpd="sng">
                <a:solidFill>
                  <a:srgbClr val="000000"/>
                </a:solidFill>
              </a:ln>
            </c:spPr>
          </c:dPt>
          <c:dLbls>
            <c:dLbl>
              <c:idx val="3"/>
              <c:numFmt formatCode="General" sourceLinked="1"/>
              <c:txPr>
                <a:bodyPr/>
                <a:lstStyle/>
                <a:p>
                  <a:pPr lvl="0">
                    <a:defRPr b="0" i="0" sz="1000">
                      <a:solidFill>
                        <a:srgbClr val="000000"/>
                      </a:solidFill>
                      <a:latin typeface="Arial"/>
                    </a:defRPr>
                  </a:pPr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4"/>
              <c:numFmt formatCode="General" sourceLinked="1"/>
              <c:txPr>
                <a:bodyPr/>
                <a:lstStyle/>
                <a:p>
                  <a:pPr lvl="0">
                    <a:defRPr b="0" i="0" sz="1000">
                      <a:solidFill>
                        <a:srgbClr val="000000"/>
                      </a:solidFill>
                      <a:latin typeface="Arial"/>
                    </a:defRPr>
                  </a:pPr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5"/>
              <c:tx>
                <c:rich>
                  <a:bodyPr/>
                  <a:lstStyle/>
                  <a:p>
                    <a:pPr lvl="0">
                      <a:defRPr b="0" i="0" sz="1000">
                        <a:solidFill>
                          <a:srgbClr val="000000"/>
                        </a:solidFill>
                        <a:latin typeface="Roboto"/>
                      </a:defRPr>
                    </a:pPr>
                    <a:r>
                      <a:rPr b="0" i="0" sz="1000">
                        <a:solidFill>
                          <a:srgbClr val="000000"/>
                        </a:solidFill>
                        <a:latin typeface="Roboto"/>
                      </a:rPr>
                      <a:t>3.5</a:t>
                    </a:r>
                  </a:p>
                </c:rich>
              </c:tx>
              <c:numFmt formatCode="General" sourceLinked="1"/>
              <c:txPr>
                <a:bodyPr/>
                <a:lstStyle/>
                <a:p>
                  <a:pPr lvl="0">
                    <a:defRPr b="0" i="0" sz="1000">
                      <a:solidFill>
                        <a:srgbClr val="000000"/>
                      </a:solidFill>
                      <a:latin typeface="Arial"/>
                    </a:defRPr>
                  </a:pPr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</c:dLbl>
            <c:numFmt formatCode="General" sourceLinked="1"/>
            <c:txPr>
              <a:bodyPr/>
              <a:lstStyle/>
              <a:p>
                <a:pPr lvl="0">
                  <a:defRPr b="0" i="0" sz="1000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'Chart Calculations'!$A$57:$A$63</c:f>
            </c:strRef>
          </c:cat>
          <c:val>
            <c:numRef>
              <c:f>'Chart Calculations'!$H$44:$H$50</c:f>
              <c:numCache/>
            </c:numRef>
          </c:val>
        </c:ser>
        <c:ser>
          <c:idx val="4"/>
          <c:order val="4"/>
          <c:tx>
            <c:v>2022</c:v>
          </c:tx>
          <c:spPr>
            <a:solidFill>
              <a:srgbClr val="34A853"/>
            </a:solidFill>
            <a:ln cmpd="sng">
              <a:solidFill>
                <a:srgbClr val="000000"/>
              </a:solidFill>
            </a:ln>
          </c:spPr>
          <c:dPt>
            <c:idx val="0"/>
            <c:spPr>
              <a:solidFill>
                <a:srgbClr val="34A853"/>
              </a:solidFill>
              <a:ln cmpd="sng">
                <a:solidFill>
                  <a:srgbClr val="000000"/>
                </a:solidFill>
              </a:ln>
            </c:spPr>
          </c:dPt>
          <c:dPt>
            <c:idx val="5"/>
            <c:spPr>
              <a:solidFill>
                <a:srgbClr val="34A853"/>
              </a:solidFill>
              <a:ln cmpd="sng">
                <a:solidFill>
                  <a:srgbClr val="000000"/>
                </a:solidFill>
              </a:ln>
            </c:spPr>
          </c:dPt>
          <c:dLbls>
            <c:dLbl>
              <c:idx val="0"/>
              <c:numFmt formatCode="General" sourceLinked="1"/>
              <c:txPr>
                <a:bodyPr/>
                <a:lstStyle/>
                <a:p>
                  <a:pPr lvl="0">
                    <a:defRPr b="0" i="0" sz="1000">
                      <a:solidFill>
                        <a:srgbClr val="000000"/>
                      </a:solidFill>
                      <a:latin typeface="Arial"/>
                    </a:defRPr>
                  </a:pPr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5"/>
              <c:tx>
                <c:rich>
                  <a:bodyPr/>
                  <a:lstStyle/>
                  <a:p>
                    <a:pPr lvl="0">
                      <a:defRPr b="0" i="0" sz="1000">
                        <a:solidFill>
                          <a:srgbClr val="000000"/>
                        </a:solidFill>
                        <a:latin typeface="Roboto"/>
                      </a:defRPr>
                    </a:pPr>
                    <a:r>
                      <a:rPr b="0" i="0" sz="1000">
                        <a:solidFill>
                          <a:srgbClr val="000000"/>
                        </a:solidFill>
                        <a:latin typeface="Roboto"/>
                      </a:rPr>
                      <a:t>4.0</a:t>
                    </a:r>
                  </a:p>
                </c:rich>
              </c:tx>
              <c:numFmt formatCode="General" sourceLinked="1"/>
              <c:txPr>
                <a:bodyPr/>
                <a:lstStyle/>
                <a:p>
                  <a:pPr lvl="0">
                    <a:defRPr b="0" i="0" sz="1000">
                      <a:solidFill>
                        <a:srgbClr val="000000"/>
                      </a:solidFill>
                      <a:latin typeface="Arial"/>
                    </a:defRPr>
                  </a:pPr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</c:dLbl>
            <c:numFmt formatCode="General" sourceLinked="1"/>
            <c:txPr>
              <a:bodyPr/>
              <a:lstStyle/>
              <a:p>
                <a:pPr lvl="0">
                  <a:defRPr b="0" i="0" sz="1000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'Chart Calculations'!$A$57:$A$63</c:f>
            </c:strRef>
          </c:cat>
          <c:val>
            <c:numRef>
              <c:f>'Chart Calculations'!$H$57:$H$63</c:f>
              <c:numCache/>
            </c:numRef>
          </c:val>
        </c:ser>
        <c:axId val="865884699"/>
        <c:axId val="1831645459"/>
      </c:barChart>
      <c:catAx>
        <c:axId val="86588469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 i="0" sz="1000">
                    <a:solidFill>
                      <a:srgbClr val="000000"/>
                    </a:solidFill>
                    <a:latin typeface="Arial"/>
                  </a:defRPr>
                </a:pPr>
                <a:r>
                  <a:rPr b="1" i="0" sz="1000">
                    <a:solidFill>
                      <a:srgbClr val="000000"/>
                    </a:solidFill>
                    <a:latin typeface="Arial"/>
                  </a:rPr>
                  <a:t>Macroinvertebrate Metrics</a:t>
                </a:r>
              </a:p>
            </c:rich>
          </c:tx>
          <c:overlay val="0"/>
        </c:title>
        <c:numFmt formatCode="General" sourceLinked="0"/>
        <c:majorTickMark val="none"/>
        <c:minorTickMark val="none"/>
        <c:spPr/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Arial"/>
              </a:defRPr>
            </a:pPr>
          </a:p>
        </c:txPr>
        <c:crossAx val="1831645459"/>
      </c:catAx>
      <c:valAx>
        <c:axId val="1831645459"/>
        <c:scaling>
          <c:orientation val="minMax"/>
          <c:max val="150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0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Arial"/>
              </a:defRPr>
            </a:pPr>
          </a:p>
        </c:txPr>
        <c:crossAx val="865884699"/>
      </c:valAx>
    </c:plotArea>
    <c:legend>
      <c:legendPos val="r"/>
      <c:overlay val="0"/>
      <c:txPr>
        <a:bodyPr/>
        <a:lstStyle/>
        <a:p>
          <a:pPr lvl="0">
            <a:defRPr b="0" i="0" sz="1000">
              <a:solidFill>
                <a:srgbClr val="1A1A1A"/>
              </a:solidFill>
              <a:latin typeface="Arial"/>
            </a:defRPr>
          </a:pPr>
        </a:p>
      </c:txPr>
    </c:legend>
    <c:plotVisOnly val="1"/>
  </c:chart>
  <c:spPr>
    <a:solidFill>
      <a:srgbClr val="FFFFFF"/>
    </a:solidFill>
  </c:spPr>
</c:chartSpace>
</file>

<file path=xl/charts/chart8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800">
                <a:solidFill>
                  <a:srgbClr val="757575"/>
                </a:solidFill>
                <a:latin typeface="Arial"/>
              </a:defRPr>
            </a:pPr>
            <a:r>
              <a:rPr b="1" i="0" sz="1800">
                <a:solidFill>
                  <a:srgbClr val="757575"/>
                </a:solidFill>
                <a:latin typeface="Arial"/>
              </a:rPr>
              <a:t>Linville River at Newland Hwy Biological Assessment Trends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v>2018</c:v>
          </c:tx>
          <c:spPr>
            <a:solidFill>
              <a:srgbClr val="4285F4"/>
            </a:solidFill>
            <a:ln cmpd="sng">
              <a:solidFill>
                <a:srgbClr val="000000"/>
              </a:solidFill>
            </a:ln>
          </c:spPr>
          <c:dPt>
            <c:idx val="3"/>
            <c:spPr>
              <a:solidFill>
                <a:srgbClr val="4285F4"/>
              </a:solidFill>
              <a:ln cmpd="sng">
                <a:solidFill>
                  <a:srgbClr val="000000"/>
                </a:solidFill>
              </a:ln>
            </c:spPr>
          </c:dPt>
          <c:dPt>
            <c:idx val="4"/>
            <c:spPr>
              <a:solidFill>
                <a:srgbClr val="4285F4"/>
              </a:solidFill>
              <a:ln cmpd="sng">
                <a:solidFill>
                  <a:srgbClr val="000000"/>
                </a:solidFill>
              </a:ln>
            </c:spPr>
          </c:dPt>
          <c:dPt>
            <c:idx val="5"/>
            <c:spPr>
              <a:solidFill>
                <a:srgbClr val="4285F4"/>
              </a:solidFill>
              <a:ln cmpd="sng">
                <a:solidFill>
                  <a:srgbClr val="000000"/>
                </a:solidFill>
              </a:ln>
            </c:spPr>
          </c:dPt>
          <c:dLbls>
            <c:dLbl>
              <c:idx val="3"/>
              <c:numFmt formatCode="General" sourceLinked="1"/>
              <c:txPr>
                <a:bodyPr/>
                <a:lstStyle/>
                <a:p>
                  <a:pPr lvl="0">
                    <a:defRPr b="0" i="0" sz="1000">
                      <a:solidFill>
                        <a:srgbClr val="000000"/>
                      </a:solidFill>
                      <a:latin typeface="Arial"/>
                    </a:defRPr>
                  </a:pPr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4"/>
              <c:numFmt formatCode="General" sourceLinked="1"/>
              <c:txPr>
                <a:bodyPr/>
                <a:lstStyle/>
                <a:p>
                  <a:pPr lvl="0">
                    <a:defRPr b="0" i="0" sz="1000">
                      <a:solidFill>
                        <a:srgbClr val="000000"/>
                      </a:solidFill>
                      <a:latin typeface="Arial"/>
                    </a:defRPr>
                  </a:pPr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5"/>
              <c:tx>
                <c:rich>
                  <a:bodyPr/>
                  <a:lstStyle/>
                  <a:p>
                    <a:pPr lvl="0">
                      <a:defRPr b="0" i="0" sz="1000">
                        <a:solidFill>
                          <a:srgbClr val="000000"/>
                        </a:solidFill>
                        <a:latin typeface="Roboto"/>
                      </a:defRPr>
                    </a:pPr>
                    <a:r>
                      <a:rPr b="0" i="0" sz="1000">
                        <a:solidFill>
                          <a:srgbClr val="000000"/>
                        </a:solidFill>
                        <a:latin typeface="Roboto"/>
                      </a:rPr>
                      <a:t>2.1</a:t>
                    </a:r>
                  </a:p>
                </c:rich>
              </c:tx>
              <c:numFmt formatCode="General" sourceLinked="1"/>
              <c:txPr>
                <a:bodyPr/>
                <a:lstStyle/>
                <a:p>
                  <a:pPr lvl="0">
                    <a:defRPr b="0" i="0" sz="1000">
                      <a:solidFill>
                        <a:srgbClr val="000000"/>
                      </a:solidFill>
                      <a:latin typeface="Arial"/>
                    </a:defRPr>
                  </a:pPr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</c:dLbl>
            <c:numFmt formatCode="General" sourceLinked="1"/>
            <c:txPr>
              <a:bodyPr/>
              <a:lstStyle/>
              <a:p>
                <a:pPr lvl="0">
                  <a:defRPr b="0" i="0" sz="1000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'Chart Calculations'!$A$57:$A$63</c:f>
            </c:strRef>
          </c:cat>
          <c:val>
            <c:numRef>
              <c:f>'Chart Calculations'!$I$4:$I$10</c:f>
              <c:numCache/>
            </c:numRef>
          </c:val>
        </c:ser>
        <c:ser>
          <c:idx val="1"/>
          <c:order val="1"/>
          <c:tx>
            <c:v>2019</c:v>
          </c:tx>
          <c:spPr>
            <a:solidFill>
              <a:srgbClr val="EA9999"/>
            </a:solidFill>
            <a:ln cmpd="sng">
              <a:solidFill>
                <a:srgbClr val="000000"/>
              </a:solidFill>
            </a:ln>
          </c:spPr>
          <c:dPt>
            <c:idx val="2"/>
            <c:spPr>
              <a:solidFill>
                <a:srgbClr val="EA9999"/>
              </a:solidFill>
              <a:ln cmpd="sng">
                <a:solidFill>
                  <a:srgbClr val="000000"/>
                </a:solidFill>
              </a:ln>
            </c:spPr>
          </c:dPt>
          <c:dPt>
            <c:idx val="3"/>
            <c:spPr>
              <a:solidFill>
                <a:srgbClr val="EA9999"/>
              </a:solidFill>
              <a:ln cmpd="sng">
                <a:solidFill>
                  <a:srgbClr val="000000"/>
                </a:solidFill>
              </a:ln>
            </c:spPr>
          </c:dPt>
          <c:dPt>
            <c:idx val="4"/>
            <c:spPr>
              <a:solidFill>
                <a:srgbClr val="EA9999"/>
              </a:solidFill>
              <a:ln cmpd="sng">
                <a:solidFill>
                  <a:srgbClr val="000000"/>
                </a:solidFill>
              </a:ln>
            </c:spPr>
          </c:dPt>
          <c:dPt>
            <c:idx val="5"/>
            <c:spPr>
              <a:solidFill>
                <a:srgbClr val="EA9999"/>
              </a:solidFill>
              <a:ln cmpd="sng">
                <a:solidFill>
                  <a:srgbClr val="000000"/>
                </a:solidFill>
              </a:ln>
            </c:spPr>
          </c:dPt>
          <c:dLbls>
            <c:dLbl>
              <c:idx val="2"/>
              <c:numFmt formatCode="General" sourceLinked="1"/>
              <c:txPr>
                <a:bodyPr/>
                <a:lstStyle/>
                <a:p>
                  <a:pPr lvl="0">
                    <a:defRPr b="0" i="0" sz="1000">
                      <a:solidFill>
                        <a:srgbClr val="000000"/>
                      </a:solidFill>
                      <a:latin typeface="Arial"/>
                    </a:defRPr>
                  </a:pPr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3"/>
              <c:numFmt formatCode="General" sourceLinked="1"/>
              <c:txPr>
                <a:bodyPr/>
                <a:lstStyle/>
                <a:p>
                  <a:pPr lvl="0">
                    <a:defRPr b="0" i="0" sz="1000">
                      <a:solidFill>
                        <a:srgbClr val="000000"/>
                      </a:solidFill>
                      <a:latin typeface="Arial"/>
                    </a:defRPr>
                  </a:pPr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4"/>
              <c:numFmt formatCode="General" sourceLinked="1"/>
              <c:txPr>
                <a:bodyPr/>
                <a:lstStyle/>
                <a:p>
                  <a:pPr lvl="0">
                    <a:defRPr b="0" i="0" sz="1000">
                      <a:solidFill>
                        <a:srgbClr val="000000"/>
                      </a:solidFill>
                      <a:latin typeface="Arial"/>
                    </a:defRPr>
                  </a:pPr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5"/>
              <c:tx>
                <c:rich>
                  <a:bodyPr/>
                  <a:lstStyle/>
                  <a:p>
                    <a:pPr lvl="0">
                      <a:defRPr b="0" i="0" sz="1000">
                        <a:solidFill>
                          <a:srgbClr val="000000"/>
                        </a:solidFill>
                        <a:latin typeface="Roboto"/>
                      </a:defRPr>
                    </a:pPr>
                    <a:r>
                      <a:rPr b="0" i="0" sz="1000">
                        <a:solidFill>
                          <a:srgbClr val="000000"/>
                        </a:solidFill>
                        <a:latin typeface="Roboto"/>
                      </a:rPr>
                      <a:t>2.9</a:t>
                    </a:r>
                  </a:p>
                </c:rich>
              </c:tx>
              <c:numFmt formatCode="General" sourceLinked="1"/>
              <c:txPr>
                <a:bodyPr/>
                <a:lstStyle/>
                <a:p>
                  <a:pPr lvl="0">
                    <a:defRPr b="0" i="0" sz="1000">
                      <a:solidFill>
                        <a:srgbClr val="000000"/>
                      </a:solidFill>
                      <a:latin typeface="Arial"/>
                    </a:defRPr>
                  </a:pPr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</c:dLbl>
            <c:numFmt formatCode="General" sourceLinked="1"/>
            <c:txPr>
              <a:bodyPr/>
              <a:lstStyle/>
              <a:p>
                <a:pPr lvl="0">
                  <a:defRPr b="0" i="0" sz="1000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'Chart Calculations'!$A$57:$A$63</c:f>
            </c:strRef>
          </c:cat>
          <c:val>
            <c:numRef>
              <c:f>'Chart Calculations'!$I$17:$I$23</c:f>
              <c:numCache/>
            </c:numRef>
          </c:val>
        </c:ser>
        <c:ser>
          <c:idx val="2"/>
          <c:order val="2"/>
          <c:tx>
            <c:v>2020</c:v>
          </c:tx>
          <c:spPr>
            <a:solidFill>
              <a:srgbClr val="EA4335"/>
            </a:solidFill>
            <a:ln cmpd="sng">
              <a:solidFill>
                <a:srgbClr val="000000"/>
              </a:solidFill>
            </a:ln>
          </c:spPr>
          <c:dPt>
            <c:idx val="3"/>
            <c:spPr>
              <a:solidFill>
                <a:srgbClr val="EA4335"/>
              </a:solidFill>
              <a:ln cmpd="sng">
                <a:solidFill>
                  <a:srgbClr val="000000"/>
                </a:solidFill>
              </a:ln>
            </c:spPr>
          </c:dPt>
          <c:dPt>
            <c:idx val="4"/>
            <c:spPr>
              <a:solidFill>
                <a:srgbClr val="EA4335"/>
              </a:solidFill>
              <a:ln cmpd="sng">
                <a:solidFill>
                  <a:srgbClr val="000000"/>
                </a:solidFill>
              </a:ln>
            </c:spPr>
          </c:dPt>
          <c:dPt>
            <c:idx val="5"/>
            <c:spPr>
              <a:solidFill>
                <a:srgbClr val="EA4335"/>
              </a:solidFill>
              <a:ln cmpd="sng">
                <a:solidFill>
                  <a:srgbClr val="000000"/>
                </a:solidFill>
              </a:ln>
            </c:spPr>
          </c:dPt>
          <c:dLbls>
            <c:dLbl>
              <c:idx val="3"/>
              <c:numFmt formatCode="General" sourceLinked="1"/>
              <c:txPr>
                <a:bodyPr/>
                <a:lstStyle/>
                <a:p>
                  <a:pPr lvl="0">
                    <a:defRPr b="0" i="0" sz="1000">
                      <a:solidFill>
                        <a:srgbClr val="000000"/>
                      </a:solidFill>
                      <a:latin typeface="Arial"/>
                    </a:defRPr>
                  </a:pPr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4"/>
              <c:numFmt formatCode="General" sourceLinked="1"/>
              <c:txPr>
                <a:bodyPr/>
                <a:lstStyle/>
                <a:p>
                  <a:pPr lvl="0">
                    <a:defRPr b="0" i="0" sz="1000">
                      <a:solidFill>
                        <a:srgbClr val="000000"/>
                      </a:solidFill>
                      <a:latin typeface="Arial"/>
                    </a:defRPr>
                  </a:pPr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5"/>
              <c:tx>
                <c:rich>
                  <a:bodyPr/>
                  <a:lstStyle/>
                  <a:p>
                    <a:pPr lvl="0">
                      <a:defRPr b="0" i="0" sz="1000">
                        <a:solidFill>
                          <a:srgbClr val="000000"/>
                        </a:solidFill>
                        <a:latin typeface="Roboto"/>
                      </a:defRPr>
                    </a:pPr>
                    <a:r>
                      <a:rPr b="0" i="0" sz="1000">
                        <a:solidFill>
                          <a:srgbClr val="000000"/>
                        </a:solidFill>
                        <a:latin typeface="Roboto"/>
                      </a:rPr>
                      <a:t>3.0</a:t>
                    </a:r>
                  </a:p>
                </c:rich>
              </c:tx>
              <c:numFmt formatCode="General" sourceLinked="1"/>
              <c:txPr>
                <a:bodyPr/>
                <a:lstStyle/>
                <a:p>
                  <a:pPr lvl="0">
                    <a:defRPr b="0" i="0" sz="1000">
                      <a:solidFill>
                        <a:srgbClr val="000000"/>
                      </a:solidFill>
                      <a:latin typeface="Arial"/>
                    </a:defRPr>
                  </a:pPr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</c:dLbl>
            <c:numFmt formatCode="General" sourceLinked="1"/>
            <c:txPr>
              <a:bodyPr/>
              <a:lstStyle/>
              <a:p>
                <a:pPr lvl="0">
                  <a:defRPr b="0" i="0" sz="1000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'Chart Calculations'!$A$57:$A$63</c:f>
            </c:strRef>
          </c:cat>
          <c:val>
            <c:numRef>
              <c:f>'Chart Calculations'!$I$31:$I$37</c:f>
              <c:numCache/>
            </c:numRef>
          </c:val>
        </c:ser>
        <c:ser>
          <c:idx val="3"/>
          <c:order val="3"/>
          <c:tx>
            <c:v>2022</c:v>
          </c:tx>
          <c:spPr>
            <a:solidFill>
              <a:srgbClr val="34A853"/>
            </a:solidFill>
            <a:ln cmpd="sng">
              <a:solidFill>
                <a:srgbClr val="000000"/>
              </a:solidFill>
            </a:ln>
          </c:spPr>
          <c:dPt>
            <c:idx val="3"/>
            <c:spPr>
              <a:solidFill>
                <a:srgbClr val="34A853"/>
              </a:solidFill>
              <a:ln cmpd="sng">
                <a:solidFill>
                  <a:srgbClr val="000000"/>
                </a:solidFill>
              </a:ln>
            </c:spPr>
          </c:dPt>
          <c:dPt>
            <c:idx val="4"/>
            <c:spPr>
              <a:solidFill>
                <a:srgbClr val="34A853"/>
              </a:solidFill>
              <a:ln cmpd="sng">
                <a:solidFill>
                  <a:srgbClr val="000000"/>
                </a:solidFill>
              </a:ln>
            </c:spPr>
          </c:dPt>
          <c:dPt>
            <c:idx val="5"/>
            <c:spPr>
              <a:solidFill>
                <a:srgbClr val="34A853"/>
              </a:solidFill>
              <a:ln cmpd="sng">
                <a:solidFill>
                  <a:srgbClr val="000000"/>
                </a:solidFill>
              </a:ln>
            </c:spPr>
          </c:dPt>
          <c:dLbls>
            <c:dLbl>
              <c:idx val="3"/>
              <c:numFmt formatCode="General" sourceLinked="1"/>
              <c:txPr>
                <a:bodyPr/>
                <a:lstStyle/>
                <a:p>
                  <a:pPr lvl="0">
                    <a:defRPr b="0" i="0" sz="1000">
                      <a:solidFill>
                        <a:srgbClr val="000000"/>
                      </a:solidFill>
                      <a:latin typeface="Arial"/>
                    </a:defRPr>
                  </a:pPr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4"/>
              <c:numFmt formatCode="General" sourceLinked="1"/>
              <c:txPr>
                <a:bodyPr/>
                <a:lstStyle/>
                <a:p>
                  <a:pPr lvl="0">
                    <a:defRPr b="0" i="0" sz="1000">
                      <a:solidFill>
                        <a:srgbClr val="000000"/>
                      </a:solidFill>
                      <a:latin typeface="Arial"/>
                    </a:defRPr>
                  </a:pPr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5"/>
              <c:tx>
                <c:rich>
                  <a:bodyPr/>
                  <a:lstStyle/>
                  <a:p>
                    <a:pPr lvl="0">
                      <a:defRPr b="0" i="0" sz="1000">
                        <a:solidFill>
                          <a:srgbClr val="000000"/>
                        </a:solidFill>
                        <a:latin typeface="Roboto"/>
                      </a:defRPr>
                    </a:pPr>
                    <a:r>
                      <a:rPr b="0" i="0" sz="1000">
                        <a:solidFill>
                          <a:srgbClr val="000000"/>
                        </a:solidFill>
                        <a:latin typeface="Roboto"/>
                      </a:rPr>
                      <a:t>2.5</a:t>
                    </a:r>
                  </a:p>
                </c:rich>
              </c:tx>
              <c:numFmt formatCode="General" sourceLinked="1"/>
              <c:txPr>
                <a:bodyPr/>
                <a:lstStyle/>
                <a:p>
                  <a:pPr lvl="0">
                    <a:defRPr b="0" i="0" sz="1000">
                      <a:solidFill>
                        <a:srgbClr val="000000"/>
                      </a:solidFill>
                      <a:latin typeface="Arial"/>
                    </a:defRPr>
                  </a:pPr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</c:dLbl>
            <c:numFmt formatCode="General" sourceLinked="1"/>
            <c:txPr>
              <a:bodyPr/>
              <a:lstStyle/>
              <a:p>
                <a:pPr lvl="0">
                  <a:defRPr b="0" i="0" sz="1000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'Chart Calculations'!$A$57:$A$63</c:f>
            </c:strRef>
          </c:cat>
          <c:val>
            <c:numRef>
              <c:f>'Chart Calculations'!$I$57:$I$63</c:f>
              <c:numCache/>
            </c:numRef>
          </c:val>
        </c:ser>
        <c:axId val="1000176657"/>
        <c:axId val="1489711313"/>
      </c:barChart>
      <c:catAx>
        <c:axId val="100017665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 i="0" sz="1000">
                    <a:solidFill>
                      <a:srgbClr val="000000"/>
                    </a:solidFill>
                    <a:latin typeface="Arial"/>
                  </a:defRPr>
                </a:pPr>
                <a:r>
                  <a:rPr b="1" i="0" sz="1000">
                    <a:solidFill>
                      <a:srgbClr val="000000"/>
                    </a:solidFill>
                    <a:latin typeface="Arial"/>
                  </a:rPr>
                  <a:t>Macroinvertebrate Metrics</a:t>
                </a:r>
              </a:p>
            </c:rich>
          </c:tx>
          <c:overlay val="0"/>
        </c:title>
        <c:numFmt formatCode="General" sourceLinked="0"/>
        <c:majorTickMark val="none"/>
        <c:minorTickMark val="none"/>
        <c:spPr/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Arial"/>
              </a:defRPr>
            </a:pPr>
          </a:p>
        </c:txPr>
        <c:crossAx val="1489711313"/>
      </c:catAx>
      <c:valAx>
        <c:axId val="1489711313"/>
        <c:scaling>
          <c:orientation val="minMax"/>
          <c:max val="150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0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Arial"/>
              </a:defRPr>
            </a:pPr>
          </a:p>
        </c:txPr>
        <c:crossAx val="1000176657"/>
      </c:valAx>
    </c:plotArea>
    <c:legend>
      <c:legendPos val="r"/>
      <c:overlay val="0"/>
      <c:txPr>
        <a:bodyPr/>
        <a:lstStyle/>
        <a:p>
          <a:pPr lvl="0">
            <a:defRPr b="0" i="0" sz="1000">
              <a:solidFill>
                <a:srgbClr val="1A1A1A"/>
              </a:solidFill>
              <a:latin typeface="Arial"/>
            </a:defRPr>
          </a:pPr>
        </a:p>
      </c:txPr>
    </c:legend>
    <c:plotVisOnly val="1"/>
  </c:chart>
  <c:spPr>
    <a:solidFill>
      <a:srgbClr val="FFFFFF"/>
    </a:solidFill>
  </c:spPr>
</c:chartSpace>
</file>

<file path=xl/charts/chart9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800">
                <a:solidFill>
                  <a:srgbClr val="757575"/>
                </a:solidFill>
                <a:latin typeface="Arial"/>
              </a:defRPr>
            </a:pPr>
            <a:r>
              <a:rPr b="1" i="0" sz="1800">
                <a:solidFill>
                  <a:srgbClr val="757575"/>
                </a:solidFill>
                <a:latin typeface="Arial"/>
              </a:rPr>
              <a:t>Linville River at BRP Picnic Area Biological Assessment Trends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v>2018</c:v>
          </c:tx>
          <c:spPr>
            <a:solidFill>
              <a:srgbClr val="4285F4"/>
            </a:solidFill>
            <a:ln cmpd="sng">
              <a:solidFill>
                <a:srgbClr val="000000"/>
              </a:solidFill>
            </a:ln>
          </c:spPr>
          <c:dPt>
            <c:idx val="3"/>
            <c:spPr>
              <a:solidFill>
                <a:srgbClr val="4285F4"/>
              </a:solidFill>
              <a:ln cmpd="sng">
                <a:solidFill>
                  <a:srgbClr val="000000"/>
                </a:solidFill>
              </a:ln>
            </c:spPr>
          </c:dPt>
          <c:dPt>
            <c:idx val="4"/>
            <c:spPr>
              <a:solidFill>
                <a:srgbClr val="4285F4"/>
              </a:solidFill>
              <a:ln cmpd="sng">
                <a:solidFill>
                  <a:srgbClr val="000000"/>
                </a:solidFill>
              </a:ln>
            </c:spPr>
          </c:dPt>
          <c:dPt>
            <c:idx val="5"/>
            <c:spPr>
              <a:solidFill>
                <a:srgbClr val="4285F4"/>
              </a:solidFill>
              <a:ln cmpd="sng">
                <a:solidFill>
                  <a:srgbClr val="000000"/>
                </a:solidFill>
              </a:ln>
            </c:spPr>
          </c:dPt>
          <c:dLbls>
            <c:dLbl>
              <c:idx val="3"/>
              <c:numFmt formatCode="General" sourceLinked="1"/>
              <c:txPr>
                <a:bodyPr/>
                <a:lstStyle/>
                <a:p>
                  <a:pPr lvl="0">
                    <a:defRPr b="0" i="0" sz="1000">
                      <a:solidFill>
                        <a:srgbClr val="000000"/>
                      </a:solidFill>
                      <a:latin typeface="Arial"/>
                    </a:defRPr>
                  </a:pPr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4"/>
              <c:numFmt formatCode="General" sourceLinked="1"/>
              <c:txPr>
                <a:bodyPr/>
                <a:lstStyle/>
                <a:p>
                  <a:pPr lvl="0">
                    <a:defRPr b="0" i="0" sz="1000">
                      <a:solidFill>
                        <a:srgbClr val="000000"/>
                      </a:solidFill>
                      <a:latin typeface="Arial"/>
                    </a:defRPr>
                  </a:pPr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5"/>
              <c:tx>
                <c:rich>
                  <a:bodyPr/>
                  <a:lstStyle/>
                  <a:p>
                    <a:pPr lvl="0">
                      <a:defRPr b="0" i="0" sz="1000">
                        <a:solidFill>
                          <a:srgbClr val="000000"/>
                        </a:solidFill>
                        <a:latin typeface="Roboto"/>
                      </a:defRPr>
                    </a:pPr>
                    <a:r>
                      <a:rPr b="0" i="0" sz="1000">
                        <a:solidFill>
                          <a:srgbClr val="000000"/>
                        </a:solidFill>
                        <a:latin typeface="Roboto"/>
                      </a:rPr>
                      <a:t>3.3</a:t>
                    </a:r>
                  </a:p>
                </c:rich>
              </c:tx>
              <c:numFmt formatCode="General" sourceLinked="1"/>
              <c:txPr>
                <a:bodyPr/>
                <a:lstStyle/>
                <a:p>
                  <a:pPr lvl="0">
                    <a:defRPr b="0" i="0" sz="1000">
                      <a:solidFill>
                        <a:srgbClr val="000000"/>
                      </a:solidFill>
                      <a:latin typeface="Arial"/>
                    </a:defRPr>
                  </a:pPr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</c:dLbl>
            <c:numFmt formatCode="General" sourceLinked="1"/>
            <c:txPr>
              <a:bodyPr/>
              <a:lstStyle/>
              <a:p>
                <a:pPr lvl="0">
                  <a:defRPr b="0" i="0" sz="1000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'Chart Calculations'!$A$57:$A$63</c:f>
            </c:strRef>
          </c:cat>
          <c:val>
            <c:numRef>
              <c:f>'Chart Calculations'!$J$4:$J$10</c:f>
              <c:numCache/>
            </c:numRef>
          </c:val>
        </c:ser>
        <c:ser>
          <c:idx val="1"/>
          <c:order val="1"/>
          <c:tx>
            <c:v>2019</c:v>
          </c:tx>
          <c:spPr>
            <a:solidFill>
              <a:srgbClr val="EA9999"/>
            </a:solidFill>
            <a:ln cmpd="sng">
              <a:solidFill>
                <a:srgbClr val="000000"/>
              </a:solidFill>
            </a:ln>
          </c:spPr>
          <c:dPt>
            <c:idx val="2"/>
            <c:spPr>
              <a:solidFill>
                <a:srgbClr val="EA9999"/>
              </a:solidFill>
              <a:ln cmpd="sng">
                <a:solidFill>
                  <a:srgbClr val="000000"/>
                </a:solidFill>
              </a:ln>
            </c:spPr>
          </c:dPt>
          <c:dPt>
            <c:idx val="3"/>
            <c:spPr>
              <a:solidFill>
                <a:srgbClr val="EA9999"/>
              </a:solidFill>
              <a:ln cmpd="sng">
                <a:solidFill>
                  <a:srgbClr val="000000"/>
                </a:solidFill>
              </a:ln>
            </c:spPr>
          </c:dPt>
          <c:dPt>
            <c:idx val="4"/>
            <c:spPr>
              <a:solidFill>
                <a:srgbClr val="EA9999"/>
              </a:solidFill>
              <a:ln cmpd="sng">
                <a:solidFill>
                  <a:srgbClr val="000000"/>
                </a:solidFill>
              </a:ln>
            </c:spPr>
          </c:dPt>
          <c:dPt>
            <c:idx val="5"/>
            <c:spPr>
              <a:solidFill>
                <a:srgbClr val="EA9999"/>
              </a:solidFill>
              <a:ln cmpd="sng">
                <a:solidFill>
                  <a:srgbClr val="000000"/>
                </a:solidFill>
              </a:ln>
            </c:spPr>
          </c:dPt>
          <c:dLbls>
            <c:dLbl>
              <c:idx val="2"/>
              <c:numFmt formatCode="General" sourceLinked="1"/>
              <c:txPr>
                <a:bodyPr/>
                <a:lstStyle/>
                <a:p>
                  <a:pPr lvl="0">
                    <a:defRPr b="0" i="0" sz="1000">
                      <a:solidFill>
                        <a:srgbClr val="000000"/>
                      </a:solidFill>
                      <a:latin typeface="Arial"/>
                    </a:defRPr>
                  </a:pPr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3"/>
              <c:numFmt formatCode="General" sourceLinked="1"/>
              <c:txPr>
                <a:bodyPr/>
                <a:lstStyle/>
                <a:p>
                  <a:pPr lvl="0">
                    <a:defRPr b="0" i="0" sz="1000">
                      <a:solidFill>
                        <a:srgbClr val="000000"/>
                      </a:solidFill>
                      <a:latin typeface="Arial"/>
                    </a:defRPr>
                  </a:pPr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4"/>
              <c:numFmt formatCode="General" sourceLinked="1"/>
              <c:txPr>
                <a:bodyPr/>
                <a:lstStyle/>
                <a:p>
                  <a:pPr lvl="0">
                    <a:defRPr b="0" i="0" sz="1000">
                      <a:solidFill>
                        <a:srgbClr val="000000"/>
                      </a:solidFill>
                      <a:latin typeface="Arial"/>
                    </a:defRPr>
                  </a:pPr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5"/>
              <c:tx>
                <c:rich>
                  <a:bodyPr/>
                  <a:lstStyle/>
                  <a:p>
                    <a:pPr lvl="0">
                      <a:defRPr b="0" i="0" sz="1000">
                        <a:solidFill>
                          <a:srgbClr val="000000"/>
                        </a:solidFill>
                        <a:latin typeface="Roboto"/>
                      </a:defRPr>
                    </a:pPr>
                    <a:r>
                      <a:rPr b="0" i="0" sz="1000">
                        <a:solidFill>
                          <a:srgbClr val="000000"/>
                        </a:solidFill>
                        <a:latin typeface="Roboto"/>
                      </a:rPr>
                      <a:t>3.5</a:t>
                    </a:r>
                  </a:p>
                </c:rich>
              </c:tx>
              <c:numFmt formatCode="General" sourceLinked="1"/>
              <c:txPr>
                <a:bodyPr/>
                <a:lstStyle/>
                <a:p>
                  <a:pPr lvl="0">
                    <a:defRPr b="0" i="0" sz="1000">
                      <a:solidFill>
                        <a:srgbClr val="000000"/>
                      </a:solidFill>
                      <a:latin typeface="Arial"/>
                    </a:defRPr>
                  </a:pPr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</c:dLbl>
            <c:numFmt formatCode="General" sourceLinked="1"/>
            <c:txPr>
              <a:bodyPr/>
              <a:lstStyle/>
              <a:p>
                <a:pPr lvl="0">
                  <a:defRPr b="0" i="0" sz="1000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'Chart Calculations'!$A$57:$A$63</c:f>
            </c:strRef>
          </c:cat>
          <c:val>
            <c:numRef>
              <c:f>'Chart Calculations'!$J$17:$J$23</c:f>
              <c:numCache/>
            </c:numRef>
          </c:val>
        </c:ser>
        <c:ser>
          <c:idx val="2"/>
          <c:order val="2"/>
          <c:tx>
            <c:v>2020</c:v>
          </c:tx>
          <c:spPr>
            <a:solidFill>
              <a:srgbClr val="EA4335"/>
            </a:solidFill>
            <a:ln cmpd="sng">
              <a:solidFill>
                <a:srgbClr val="000000"/>
              </a:solidFill>
            </a:ln>
          </c:spPr>
          <c:dPt>
            <c:idx val="3"/>
            <c:spPr>
              <a:solidFill>
                <a:srgbClr val="EA4335"/>
              </a:solidFill>
              <a:ln cmpd="sng">
                <a:solidFill>
                  <a:srgbClr val="000000"/>
                </a:solidFill>
              </a:ln>
            </c:spPr>
          </c:dPt>
          <c:dPt>
            <c:idx val="4"/>
            <c:spPr>
              <a:solidFill>
                <a:srgbClr val="EA4335"/>
              </a:solidFill>
              <a:ln cmpd="sng">
                <a:solidFill>
                  <a:srgbClr val="000000"/>
                </a:solidFill>
              </a:ln>
            </c:spPr>
          </c:dPt>
          <c:dPt>
            <c:idx val="5"/>
            <c:spPr>
              <a:solidFill>
                <a:srgbClr val="EA4335"/>
              </a:solidFill>
              <a:ln cmpd="sng">
                <a:solidFill>
                  <a:srgbClr val="000000"/>
                </a:solidFill>
              </a:ln>
            </c:spPr>
          </c:dPt>
          <c:dLbls>
            <c:dLbl>
              <c:idx val="3"/>
              <c:numFmt formatCode="General" sourceLinked="1"/>
              <c:txPr>
                <a:bodyPr/>
                <a:lstStyle/>
                <a:p>
                  <a:pPr lvl="0">
                    <a:defRPr b="0" i="0" sz="1000">
                      <a:solidFill>
                        <a:srgbClr val="000000"/>
                      </a:solidFill>
                      <a:latin typeface="Arial"/>
                    </a:defRPr>
                  </a:pPr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4"/>
              <c:numFmt formatCode="General" sourceLinked="1"/>
              <c:txPr>
                <a:bodyPr/>
                <a:lstStyle/>
                <a:p>
                  <a:pPr lvl="0">
                    <a:defRPr b="0" i="0" sz="1000">
                      <a:solidFill>
                        <a:srgbClr val="000000"/>
                      </a:solidFill>
                      <a:latin typeface="Arial"/>
                    </a:defRPr>
                  </a:pPr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5"/>
              <c:tx>
                <c:rich>
                  <a:bodyPr/>
                  <a:lstStyle/>
                  <a:p>
                    <a:pPr lvl="0">
                      <a:defRPr b="0" i="0" sz="1000">
                        <a:solidFill>
                          <a:srgbClr val="000000"/>
                        </a:solidFill>
                        <a:latin typeface="Roboto"/>
                      </a:defRPr>
                    </a:pPr>
                    <a:r>
                      <a:rPr b="0" i="0" sz="1000">
                        <a:solidFill>
                          <a:srgbClr val="000000"/>
                        </a:solidFill>
                        <a:latin typeface="Roboto"/>
                      </a:rPr>
                      <a:t>3.3</a:t>
                    </a:r>
                  </a:p>
                </c:rich>
              </c:tx>
              <c:numFmt formatCode="General" sourceLinked="1"/>
              <c:txPr>
                <a:bodyPr/>
                <a:lstStyle/>
                <a:p>
                  <a:pPr lvl="0">
                    <a:defRPr b="0" i="0" sz="1000">
                      <a:solidFill>
                        <a:srgbClr val="000000"/>
                      </a:solidFill>
                      <a:latin typeface="Arial"/>
                    </a:defRPr>
                  </a:pPr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</c:dLbl>
            <c:numFmt formatCode="General" sourceLinked="1"/>
            <c:txPr>
              <a:bodyPr/>
              <a:lstStyle/>
              <a:p>
                <a:pPr lvl="0">
                  <a:defRPr b="0" i="0" sz="1000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'Chart Calculations'!$A$57:$A$63</c:f>
            </c:strRef>
          </c:cat>
          <c:val>
            <c:numRef>
              <c:f>'Chart Calculations'!$J$31:$J$37</c:f>
              <c:numCache/>
            </c:numRef>
          </c:val>
        </c:ser>
        <c:ser>
          <c:idx val="3"/>
          <c:order val="3"/>
          <c:tx>
            <c:v>2022 (Site Changed)</c:v>
          </c:tx>
          <c:spPr>
            <a:solidFill>
              <a:srgbClr val="274E13"/>
            </a:solidFill>
            <a:ln cmpd="sng">
              <a:solidFill>
                <a:srgbClr val="000000"/>
              </a:solidFill>
            </a:ln>
          </c:spPr>
          <c:dPt>
            <c:idx val="3"/>
            <c:spPr>
              <a:solidFill>
                <a:srgbClr val="274E13"/>
              </a:solidFill>
              <a:ln cmpd="sng">
                <a:solidFill>
                  <a:srgbClr val="000000"/>
                </a:solidFill>
              </a:ln>
            </c:spPr>
          </c:dPt>
          <c:dPt>
            <c:idx val="4"/>
            <c:spPr>
              <a:solidFill>
                <a:srgbClr val="274E13"/>
              </a:solidFill>
              <a:ln cmpd="sng">
                <a:solidFill>
                  <a:srgbClr val="000000"/>
                </a:solidFill>
              </a:ln>
            </c:spPr>
          </c:dPt>
          <c:dPt>
            <c:idx val="5"/>
            <c:spPr>
              <a:solidFill>
                <a:srgbClr val="274E13"/>
              </a:solidFill>
              <a:ln cmpd="sng">
                <a:solidFill>
                  <a:srgbClr val="000000"/>
                </a:solidFill>
              </a:ln>
            </c:spPr>
          </c:dPt>
          <c:dLbls>
            <c:dLbl>
              <c:idx val="3"/>
              <c:numFmt formatCode="General" sourceLinked="1"/>
              <c:txPr>
                <a:bodyPr/>
                <a:lstStyle/>
                <a:p>
                  <a:pPr lvl="0">
                    <a:defRPr b="0" i="0" sz="1000">
                      <a:solidFill>
                        <a:srgbClr val="000000"/>
                      </a:solidFill>
                      <a:latin typeface="Arial"/>
                    </a:defRPr>
                  </a:pPr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4"/>
              <c:numFmt formatCode="General" sourceLinked="1"/>
              <c:txPr>
                <a:bodyPr/>
                <a:lstStyle/>
                <a:p>
                  <a:pPr lvl="0">
                    <a:defRPr b="0" i="0" sz="1000">
                      <a:solidFill>
                        <a:srgbClr val="000000"/>
                      </a:solidFill>
                      <a:latin typeface="Arial"/>
                    </a:defRPr>
                  </a:pPr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5"/>
              <c:tx>
                <c:rich>
                  <a:bodyPr/>
                  <a:lstStyle/>
                  <a:p>
                    <a:pPr lvl="0">
                      <a:defRPr b="0" i="0" sz="1000">
                        <a:solidFill>
                          <a:srgbClr val="000000"/>
                        </a:solidFill>
                        <a:latin typeface="Roboto"/>
                      </a:defRPr>
                    </a:pPr>
                    <a:r>
                      <a:rPr b="0" i="0" sz="1000">
                        <a:solidFill>
                          <a:srgbClr val="000000"/>
                        </a:solidFill>
                        <a:latin typeface="Roboto"/>
                      </a:rPr>
                      <a:t>3.1</a:t>
                    </a:r>
                  </a:p>
                </c:rich>
              </c:tx>
              <c:numFmt formatCode="General" sourceLinked="1"/>
              <c:txPr>
                <a:bodyPr/>
                <a:lstStyle/>
                <a:p>
                  <a:pPr lvl="0">
                    <a:defRPr b="0" i="0" sz="1000">
                      <a:solidFill>
                        <a:srgbClr val="000000"/>
                      </a:solidFill>
                      <a:latin typeface="Arial"/>
                    </a:defRPr>
                  </a:pPr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</c:dLbl>
            <c:numFmt formatCode="General" sourceLinked="1"/>
            <c:txPr>
              <a:bodyPr/>
              <a:lstStyle/>
              <a:p>
                <a:pPr lvl="0">
                  <a:defRPr b="0" i="0" sz="1000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'Chart Calculations'!$A$57:$A$63</c:f>
            </c:strRef>
          </c:cat>
          <c:val>
            <c:numRef>
              <c:f>'Chart Calculations'!$J$57:$J$63</c:f>
              <c:numCache/>
            </c:numRef>
          </c:val>
        </c:ser>
        <c:axId val="468556919"/>
        <c:axId val="4542667"/>
      </c:barChart>
      <c:catAx>
        <c:axId val="46855691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 i="0" sz="1000">
                    <a:solidFill>
                      <a:srgbClr val="000000"/>
                    </a:solidFill>
                    <a:latin typeface="Arial"/>
                  </a:defRPr>
                </a:pPr>
                <a:r>
                  <a:rPr b="1" i="0" sz="1000">
                    <a:solidFill>
                      <a:srgbClr val="000000"/>
                    </a:solidFill>
                    <a:latin typeface="Arial"/>
                  </a:rPr>
                  <a:t>Macroinvertebrate Metrics</a:t>
                </a:r>
              </a:p>
            </c:rich>
          </c:tx>
          <c:overlay val="0"/>
        </c:title>
        <c:numFmt formatCode="General" sourceLinked="0"/>
        <c:majorTickMark val="none"/>
        <c:minorTickMark val="none"/>
        <c:spPr/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Arial"/>
              </a:defRPr>
            </a:pPr>
          </a:p>
        </c:txPr>
        <c:crossAx val="4542667"/>
      </c:catAx>
      <c:valAx>
        <c:axId val="4542667"/>
        <c:scaling>
          <c:orientation val="minMax"/>
          <c:max val="150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0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Arial"/>
              </a:defRPr>
            </a:pPr>
          </a:p>
        </c:txPr>
        <c:crossAx val="468556919"/>
      </c:valAx>
    </c:plotArea>
    <c:legend>
      <c:legendPos val="r"/>
      <c:overlay val="0"/>
      <c:txPr>
        <a:bodyPr/>
        <a:lstStyle/>
        <a:p>
          <a:pPr lvl="0">
            <a:defRPr b="0" i="0" sz="1000">
              <a:solidFill>
                <a:srgbClr val="1A1A1A"/>
              </a:solidFill>
              <a:latin typeface="Arial"/>
            </a:defRPr>
          </a:pPr>
        </a:p>
      </c:txPr>
    </c:legend>
    <c:plotVisOnly val="1"/>
  </c:chart>
  <c:spPr>
    <a:solidFill>
      <a:srgbClr val="FFFFFF"/>
    </a:solidFill>
  </c:spPr>
</c:chartSpace>
</file>

<file path=xl/charts/chart10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800">
                <a:solidFill>
                  <a:srgbClr val="757575"/>
                </a:solidFill>
                <a:latin typeface="Arial"/>
              </a:defRPr>
            </a:pPr>
            <a:r>
              <a:rPr b="1" i="0" sz="1800">
                <a:solidFill>
                  <a:srgbClr val="757575"/>
                </a:solidFill>
                <a:latin typeface="Arial"/>
              </a:rPr>
              <a:t>Armstrong Creek Biological Assessment Trends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v>2018</c:v>
          </c:tx>
          <c:spPr>
            <a:solidFill>
              <a:srgbClr val="4285F4"/>
            </a:solidFill>
            <a:ln cmpd="sng">
              <a:solidFill>
                <a:srgbClr val="000000"/>
              </a:solidFill>
            </a:ln>
          </c:spPr>
          <c:dPt>
            <c:idx val="3"/>
            <c:spPr>
              <a:solidFill>
                <a:srgbClr val="4285F4"/>
              </a:solidFill>
              <a:ln cmpd="sng">
                <a:solidFill>
                  <a:srgbClr val="000000"/>
                </a:solidFill>
              </a:ln>
            </c:spPr>
          </c:dPt>
          <c:dPt>
            <c:idx val="4"/>
            <c:spPr>
              <a:solidFill>
                <a:srgbClr val="4285F4"/>
              </a:solidFill>
              <a:ln cmpd="sng">
                <a:solidFill>
                  <a:srgbClr val="000000"/>
                </a:solidFill>
              </a:ln>
            </c:spPr>
          </c:dPt>
          <c:dPt>
            <c:idx val="5"/>
            <c:spPr>
              <a:solidFill>
                <a:srgbClr val="4285F4"/>
              </a:solidFill>
              <a:ln cmpd="sng">
                <a:solidFill>
                  <a:srgbClr val="000000"/>
                </a:solidFill>
              </a:ln>
            </c:spPr>
          </c:dPt>
          <c:dLbls>
            <c:dLbl>
              <c:idx val="3"/>
              <c:numFmt formatCode="General" sourceLinked="1"/>
              <c:txPr>
                <a:bodyPr/>
                <a:lstStyle/>
                <a:p>
                  <a:pPr lvl="0">
                    <a:defRPr b="0" i="0" sz="1000">
                      <a:solidFill>
                        <a:srgbClr val="000000"/>
                      </a:solidFill>
                      <a:latin typeface="Arial"/>
                    </a:defRPr>
                  </a:pPr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4"/>
              <c:numFmt formatCode="General" sourceLinked="1"/>
              <c:txPr>
                <a:bodyPr/>
                <a:lstStyle/>
                <a:p>
                  <a:pPr lvl="0">
                    <a:defRPr b="0" i="0" sz="1000">
                      <a:solidFill>
                        <a:srgbClr val="000000"/>
                      </a:solidFill>
                      <a:latin typeface="Arial"/>
                    </a:defRPr>
                  </a:pPr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5"/>
              <c:numFmt formatCode="General" sourceLinked="1"/>
              <c:txPr>
                <a:bodyPr/>
                <a:lstStyle/>
                <a:p>
                  <a:pPr lvl="0">
                    <a:defRPr b="0" i="0" sz="1000">
                      <a:solidFill>
                        <a:srgbClr val="000000"/>
                      </a:solidFill>
                      <a:latin typeface="Arial"/>
                    </a:defRPr>
                  </a:pPr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</c:dLbl>
            <c:numFmt formatCode="General" sourceLinked="1"/>
            <c:txPr>
              <a:bodyPr/>
              <a:lstStyle/>
              <a:p>
                <a:pPr lvl="0">
                  <a:defRPr b="0" i="0" sz="1000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'Chart Calculations'!$A$57:$A$63</c:f>
            </c:strRef>
          </c:cat>
          <c:val>
            <c:numRef>
              <c:f>'Chart Calculations'!$K$4:$K$10</c:f>
              <c:numCache/>
            </c:numRef>
          </c:val>
        </c:ser>
        <c:ser>
          <c:idx val="1"/>
          <c:order val="1"/>
          <c:tx>
            <c:v>2020 (Site Changed)</c:v>
          </c:tx>
          <c:spPr>
            <a:solidFill>
              <a:srgbClr val="EA4335"/>
            </a:solidFill>
            <a:ln cmpd="sng">
              <a:solidFill>
                <a:srgbClr val="000000"/>
              </a:solidFill>
            </a:ln>
          </c:spPr>
          <c:dPt>
            <c:idx val="2"/>
            <c:spPr>
              <a:solidFill>
                <a:srgbClr val="EA4335"/>
              </a:solidFill>
              <a:ln cmpd="sng">
                <a:solidFill>
                  <a:srgbClr val="000000"/>
                </a:solidFill>
              </a:ln>
            </c:spPr>
          </c:dPt>
          <c:dPt>
            <c:idx val="3"/>
            <c:spPr>
              <a:solidFill>
                <a:srgbClr val="EA4335"/>
              </a:solidFill>
              <a:ln cmpd="sng">
                <a:solidFill>
                  <a:srgbClr val="000000"/>
                </a:solidFill>
              </a:ln>
            </c:spPr>
          </c:dPt>
          <c:dPt>
            <c:idx val="4"/>
            <c:spPr>
              <a:solidFill>
                <a:srgbClr val="EA4335"/>
              </a:solidFill>
              <a:ln cmpd="sng">
                <a:solidFill>
                  <a:srgbClr val="000000"/>
                </a:solidFill>
              </a:ln>
            </c:spPr>
          </c:dPt>
          <c:dPt>
            <c:idx val="5"/>
            <c:spPr>
              <a:solidFill>
                <a:srgbClr val="EA4335"/>
              </a:solidFill>
              <a:ln cmpd="sng">
                <a:solidFill>
                  <a:srgbClr val="000000"/>
                </a:solidFill>
              </a:ln>
            </c:spPr>
          </c:dPt>
          <c:dLbls>
            <c:dLbl>
              <c:idx val="2"/>
              <c:numFmt formatCode="General" sourceLinked="1"/>
              <c:txPr>
                <a:bodyPr/>
                <a:lstStyle/>
                <a:p>
                  <a:pPr lvl="0">
                    <a:defRPr b="0" i="0" sz="1000">
                      <a:solidFill>
                        <a:srgbClr val="000000"/>
                      </a:solidFill>
                      <a:latin typeface="Arial"/>
                    </a:defRPr>
                  </a:pPr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3"/>
              <c:numFmt formatCode="General" sourceLinked="1"/>
              <c:txPr>
                <a:bodyPr/>
                <a:lstStyle/>
                <a:p>
                  <a:pPr lvl="0">
                    <a:defRPr b="0" i="0" sz="1000">
                      <a:solidFill>
                        <a:srgbClr val="000000"/>
                      </a:solidFill>
                      <a:latin typeface="Arial"/>
                    </a:defRPr>
                  </a:pPr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4"/>
              <c:numFmt formatCode="General" sourceLinked="1"/>
              <c:txPr>
                <a:bodyPr/>
                <a:lstStyle/>
                <a:p>
                  <a:pPr lvl="0">
                    <a:defRPr b="0" i="0" sz="1000">
                      <a:solidFill>
                        <a:srgbClr val="000000"/>
                      </a:solidFill>
                      <a:latin typeface="Arial"/>
                    </a:defRPr>
                  </a:pPr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5"/>
              <c:tx>
                <c:rich>
                  <a:bodyPr/>
                  <a:lstStyle/>
                  <a:p>
                    <a:pPr lvl="0">
                      <a:defRPr b="0" i="0" sz="1000">
                        <a:solidFill>
                          <a:srgbClr val="000000"/>
                        </a:solidFill>
                        <a:latin typeface="Roboto"/>
                      </a:defRPr>
                    </a:pPr>
                    <a:r>
                      <a:rPr b="0" i="0" sz="1000">
                        <a:solidFill>
                          <a:srgbClr val="000000"/>
                        </a:solidFill>
                        <a:latin typeface="Roboto"/>
                      </a:rPr>
                      <a:t>4.1</a:t>
                    </a:r>
                  </a:p>
                </c:rich>
              </c:tx>
              <c:numFmt formatCode="General" sourceLinked="1"/>
              <c:txPr>
                <a:bodyPr/>
                <a:lstStyle/>
                <a:p>
                  <a:pPr lvl="0">
                    <a:defRPr b="0" i="0" sz="1000">
                      <a:solidFill>
                        <a:srgbClr val="000000"/>
                      </a:solidFill>
                      <a:latin typeface="Arial"/>
                    </a:defRPr>
                  </a:pPr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</c:dLbl>
            <c:numFmt formatCode="General" sourceLinked="1"/>
            <c:txPr>
              <a:bodyPr/>
              <a:lstStyle/>
              <a:p>
                <a:pPr lvl="0">
                  <a:defRPr b="0" i="0" sz="1000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'Chart Calculations'!$A$57:$A$63</c:f>
            </c:strRef>
          </c:cat>
          <c:val>
            <c:numRef>
              <c:f>'Chart Calculations'!$K$31:$K$37</c:f>
              <c:numCache/>
            </c:numRef>
          </c:val>
        </c:ser>
        <c:ser>
          <c:idx val="2"/>
          <c:order val="2"/>
          <c:tx>
            <c:v>2021</c:v>
          </c:tx>
          <c:spPr>
            <a:solidFill>
              <a:srgbClr val="FBBC04"/>
            </a:solidFill>
            <a:ln cmpd="sng">
              <a:solidFill>
                <a:srgbClr val="000000"/>
              </a:solidFill>
            </a:ln>
          </c:spPr>
          <c:dPt>
            <c:idx val="3"/>
            <c:spPr>
              <a:solidFill>
                <a:srgbClr val="FBBC04"/>
              </a:solidFill>
              <a:ln cmpd="sng">
                <a:solidFill>
                  <a:srgbClr val="000000"/>
                </a:solidFill>
              </a:ln>
            </c:spPr>
          </c:dPt>
          <c:dPt>
            <c:idx val="4"/>
            <c:spPr>
              <a:solidFill>
                <a:srgbClr val="FBBC04"/>
              </a:solidFill>
              <a:ln cmpd="sng">
                <a:solidFill>
                  <a:srgbClr val="000000"/>
                </a:solidFill>
              </a:ln>
            </c:spPr>
          </c:dPt>
          <c:dPt>
            <c:idx val="5"/>
            <c:spPr>
              <a:solidFill>
                <a:srgbClr val="FBBC04"/>
              </a:solidFill>
              <a:ln cmpd="sng">
                <a:solidFill>
                  <a:srgbClr val="000000"/>
                </a:solidFill>
              </a:ln>
            </c:spPr>
          </c:dPt>
          <c:dLbls>
            <c:dLbl>
              <c:idx val="3"/>
              <c:numFmt formatCode="General" sourceLinked="1"/>
              <c:txPr>
                <a:bodyPr/>
                <a:lstStyle/>
                <a:p>
                  <a:pPr lvl="0">
                    <a:defRPr b="0" i="0" sz="1000">
                      <a:solidFill>
                        <a:srgbClr val="000000"/>
                      </a:solidFill>
                      <a:latin typeface="Arial"/>
                    </a:defRPr>
                  </a:pPr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4"/>
              <c:numFmt formatCode="General" sourceLinked="1"/>
              <c:txPr>
                <a:bodyPr/>
                <a:lstStyle/>
                <a:p>
                  <a:pPr lvl="0">
                    <a:defRPr b="0" i="0" sz="1000">
                      <a:solidFill>
                        <a:srgbClr val="000000"/>
                      </a:solidFill>
                      <a:latin typeface="Arial"/>
                    </a:defRPr>
                  </a:pPr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5"/>
              <c:tx>
                <c:rich>
                  <a:bodyPr/>
                  <a:lstStyle/>
                  <a:p>
                    <a:pPr lvl="0">
                      <a:defRPr b="0" i="0" sz="1000">
                        <a:solidFill>
                          <a:srgbClr val="000000"/>
                        </a:solidFill>
                        <a:latin typeface="Roboto"/>
                      </a:defRPr>
                    </a:pPr>
                    <a:r>
                      <a:rPr b="0" i="0" sz="1000">
                        <a:solidFill>
                          <a:srgbClr val="000000"/>
                        </a:solidFill>
                        <a:latin typeface="Roboto"/>
                      </a:rPr>
                      <a:t>3.7</a:t>
                    </a:r>
                  </a:p>
                </c:rich>
              </c:tx>
              <c:numFmt formatCode="General" sourceLinked="1"/>
              <c:txPr>
                <a:bodyPr/>
                <a:lstStyle/>
                <a:p>
                  <a:pPr lvl="0">
                    <a:defRPr b="0" i="0" sz="1000">
                      <a:solidFill>
                        <a:srgbClr val="000000"/>
                      </a:solidFill>
                      <a:latin typeface="Arial"/>
                    </a:defRPr>
                  </a:pPr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</c:dLbl>
            <c:numFmt formatCode="General" sourceLinked="1"/>
            <c:txPr>
              <a:bodyPr/>
              <a:lstStyle/>
              <a:p>
                <a:pPr lvl="0">
                  <a:defRPr b="0" i="0" sz="1000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'Chart Calculations'!$A$57:$A$63</c:f>
            </c:strRef>
          </c:cat>
          <c:val>
            <c:numRef>
              <c:f>'Chart Calculations'!$K$44:$K$50</c:f>
              <c:numCache/>
            </c:numRef>
          </c:val>
        </c:ser>
        <c:ser>
          <c:idx val="3"/>
          <c:order val="3"/>
          <c:tx>
            <c:v>2022 </c:v>
          </c:tx>
          <c:spPr>
            <a:solidFill>
              <a:srgbClr val="34A853"/>
            </a:solidFill>
            <a:ln cmpd="sng">
              <a:solidFill>
                <a:srgbClr val="000000"/>
              </a:solidFill>
            </a:ln>
          </c:spPr>
          <c:dPt>
            <c:idx val="3"/>
            <c:spPr>
              <a:solidFill>
                <a:srgbClr val="34A853"/>
              </a:solidFill>
              <a:ln cmpd="sng">
                <a:solidFill>
                  <a:srgbClr val="000000"/>
                </a:solidFill>
              </a:ln>
            </c:spPr>
          </c:dPt>
          <c:dPt>
            <c:idx val="4"/>
            <c:spPr>
              <a:solidFill>
                <a:srgbClr val="34A853"/>
              </a:solidFill>
              <a:ln cmpd="sng">
                <a:solidFill>
                  <a:srgbClr val="000000"/>
                </a:solidFill>
              </a:ln>
            </c:spPr>
          </c:dPt>
          <c:dPt>
            <c:idx val="5"/>
            <c:spPr>
              <a:solidFill>
                <a:srgbClr val="34A853"/>
              </a:solidFill>
              <a:ln cmpd="sng">
                <a:solidFill>
                  <a:srgbClr val="000000"/>
                </a:solidFill>
              </a:ln>
            </c:spPr>
          </c:dPt>
          <c:dLbls>
            <c:dLbl>
              <c:idx val="3"/>
              <c:numFmt formatCode="General" sourceLinked="1"/>
              <c:txPr>
                <a:bodyPr/>
                <a:lstStyle/>
                <a:p>
                  <a:pPr lvl="0">
                    <a:defRPr b="0" i="0" sz="1000">
                      <a:solidFill>
                        <a:srgbClr val="000000"/>
                      </a:solidFill>
                      <a:latin typeface="Arial"/>
                    </a:defRPr>
                  </a:pPr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4"/>
              <c:numFmt formatCode="General" sourceLinked="1"/>
              <c:txPr>
                <a:bodyPr/>
                <a:lstStyle/>
                <a:p>
                  <a:pPr lvl="0">
                    <a:defRPr b="0" i="0" sz="1000">
                      <a:solidFill>
                        <a:srgbClr val="000000"/>
                      </a:solidFill>
                      <a:latin typeface="Arial"/>
                    </a:defRPr>
                  </a:pPr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5"/>
              <c:tx>
                <c:rich>
                  <a:bodyPr/>
                  <a:lstStyle/>
                  <a:p>
                    <a:pPr lvl="0">
                      <a:defRPr b="0" i="0" sz="1000">
                        <a:solidFill>
                          <a:srgbClr val="000000"/>
                        </a:solidFill>
                        <a:latin typeface="Roboto"/>
                      </a:defRPr>
                    </a:pPr>
                    <a:r>
                      <a:rPr b="0" i="0" sz="1000">
                        <a:solidFill>
                          <a:srgbClr val="000000"/>
                        </a:solidFill>
                        <a:latin typeface="Roboto"/>
                      </a:rPr>
                      <a:t>3.6</a:t>
                    </a:r>
                  </a:p>
                </c:rich>
              </c:tx>
              <c:numFmt formatCode="General" sourceLinked="1"/>
              <c:txPr>
                <a:bodyPr/>
                <a:lstStyle/>
                <a:p>
                  <a:pPr lvl="0">
                    <a:defRPr b="0" i="0" sz="1000">
                      <a:solidFill>
                        <a:srgbClr val="000000"/>
                      </a:solidFill>
                      <a:latin typeface="Arial"/>
                    </a:defRPr>
                  </a:pPr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</c:dLbl>
            <c:numFmt formatCode="General" sourceLinked="1"/>
            <c:txPr>
              <a:bodyPr/>
              <a:lstStyle/>
              <a:p>
                <a:pPr lvl="0">
                  <a:defRPr b="0" i="0" sz="1000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'Chart Calculations'!$A$57:$A$63</c:f>
            </c:strRef>
          </c:cat>
          <c:val>
            <c:numRef>
              <c:f>'Chart Calculations'!$K$57:$K$63</c:f>
              <c:numCache/>
            </c:numRef>
          </c:val>
        </c:ser>
        <c:axId val="214334646"/>
        <c:axId val="1691069367"/>
      </c:barChart>
      <c:catAx>
        <c:axId val="21433464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 i="0" sz="1000">
                    <a:solidFill>
                      <a:srgbClr val="000000"/>
                    </a:solidFill>
                    <a:latin typeface="Arial"/>
                  </a:defRPr>
                </a:pPr>
                <a:r>
                  <a:rPr b="1" i="0" sz="1000">
                    <a:solidFill>
                      <a:srgbClr val="000000"/>
                    </a:solidFill>
                    <a:latin typeface="Arial"/>
                  </a:rPr>
                  <a:t>Macroinvertebrate Metrics</a:t>
                </a:r>
              </a:p>
            </c:rich>
          </c:tx>
          <c:overlay val="0"/>
        </c:title>
        <c:numFmt formatCode="General" sourceLinked="0"/>
        <c:majorTickMark val="none"/>
        <c:minorTickMark val="none"/>
        <c:spPr/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Arial"/>
              </a:defRPr>
            </a:pPr>
          </a:p>
        </c:txPr>
        <c:crossAx val="1691069367"/>
      </c:catAx>
      <c:valAx>
        <c:axId val="1691069367"/>
        <c:scaling>
          <c:orientation val="minMax"/>
          <c:max val="150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0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Arial"/>
              </a:defRPr>
            </a:pPr>
          </a:p>
        </c:txPr>
        <c:crossAx val="214334646"/>
      </c:valAx>
    </c:plotArea>
    <c:legend>
      <c:legendPos val="r"/>
      <c:overlay val="0"/>
      <c:txPr>
        <a:bodyPr/>
        <a:lstStyle/>
        <a:p>
          <a:pPr lvl="0">
            <a:defRPr b="0" i="0" sz="1000">
              <a:solidFill>
                <a:srgbClr val="1A1A1A"/>
              </a:solidFill>
              <a:latin typeface="Arial"/>
            </a:defRPr>
          </a:pPr>
        </a:p>
      </c:txPr>
    </c:legend>
    <c:plotVisOnly val="1"/>
  </c:chart>
  <c:spPr>
    <a:solidFill>
      <a:srgbClr val="FFFFFF"/>
    </a:solidFill>
  </c:spPr>
</c:chartSpace>
</file>

<file path=xl/charts/chart1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800">
                <a:solidFill>
                  <a:srgbClr val="757575"/>
                </a:solidFill>
                <a:latin typeface="Arial"/>
              </a:defRPr>
            </a:pPr>
            <a:r>
              <a:rPr b="1" i="0" sz="1800">
                <a:solidFill>
                  <a:srgbClr val="757575"/>
                </a:solidFill>
                <a:latin typeface="Arial"/>
              </a:rPr>
              <a:t>Armstrong Creek Biological Assessment Trends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v>2018</c:v>
          </c:tx>
          <c:spPr>
            <a:solidFill>
              <a:srgbClr val="4285F4"/>
            </a:solidFill>
            <a:ln cmpd="sng">
              <a:solidFill>
                <a:srgbClr val="000000"/>
              </a:solidFill>
            </a:ln>
          </c:spPr>
          <c:dPt>
            <c:idx val="3"/>
            <c:spPr>
              <a:solidFill>
                <a:srgbClr val="4285F4"/>
              </a:solidFill>
              <a:ln cmpd="sng">
                <a:solidFill>
                  <a:srgbClr val="000000"/>
                </a:solidFill>
              </a:ln>
            </c:spPr>
          </c:dPt>
          <c:dPt>
            <c:idx val="4"/>
            <c:spPr>
              <a:solidFill>
                <a:srgbClr val="4285F4"/>
              </a:solidFill>
              <a:ln cmpd="sng">
                <a:solidFill>
                  <a:srgbClr val="000000"/>
                </a:solidFill>
              </a:ln>
            </c:spPr>
          </c:dPt>
          <c:dPt>
            <c:idx val="5"/>
            <c:spPr>
              <a:solidFill>
                <a:srgbClr val="4285F4"/>
              </a:solidFill>
              <a:ln cmpd="sng">
                <a:solidFill>
                  <a:srgbClr val="000000"/>
                </a:solidFill>
              </a:ln>
            </c:spPr>
          </c:dPt>
          <c:dLbls>
            <c:dLbl>
              <c:idx val="3"/>
              <c:numFmt formatCode="General" sourceLinked="1"/>
              <c:txPr>
                <a:bodyPr/>
                <a:lstStyle/>
                <a:p>
                  <a:pPr lvl="0">
                    <a:defRPr b="0" i="0" sz="1000">
                      <a:solidFill>
                        <a:srgbClr val="000000"/>
                      </a:solidFill>
                      <a:latin typeface="Arial"/>
                    </a:defRPr>
                  </a:pPr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4"/>
              <c:numFmt formatCode="General" sourceLinked="1"/>
              <c:txPr>
                <a:bodyPr/>
                <a:lstStyle/>
                <a:p>
                  <a:pPr lvl="0">
                    <a:defRPr b="0" i="0" sz="1000">
                      <a:solidFill>
                        <a:srgbClr val="000000"/>
                      </a:solidFill>
                      <a:latin typeface="Arial"/>
                    </a:defRPr>
                  </a:pPr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5"/>
              <c:numFmt formatCode="General" sourceLinked="1"/>
              <c:txPr>
                <a:bodyPr/>
                <a:lstStyle/>
                <a:p>
                  <a:pPr lvl="0">
                    <a:defRPr b="0" i="0" sz="1000">
                      <a:solidFill>
                        <a:srgbClr val="000000"/>
                      </a:solidFill>
                      <a:latin typeface="Arial"/>
                    </a:defRPr>
                  </a:pPr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</c:dLbl>
            <c:numFmt formatCode="General" sourceLinked="1"/>
            <c:txPr>
              <a:bodyPr/>
              <a:lstStyle/>
              <a:p>
                <a:pPr lvl="0">
                  <a:defRPr b="0" i="0" sz="1000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'Chart Calculations'!$A$57:$A$63</c:f>
            </c:strRef>
          </c:cat>
          <c:val>
            <c:numRef>
              <c:f>'Chart Calculations'!$K$4:$K$10</c:f>
              <c:numCache/>
            </c:numRef>
          </c:val>
        </c:ser>
        <c:ser>
          <c:idx val="1"/>
          <c:order val="1"/>
          <c:tx>
            <c:v>2020 (Site Changed)</c:v>
          </c:tx>
          <c:spPr>
            <a:solidFill>
              <a:srgbClr val="EA4335"/>
            </a:solidFill>
            <a:ln cmpd="sng">
              <a:solidFill>
                <a:srgbClr val="000000"/>
              </a:solidFill>
            </a:ln>
          </c:spPr>
          <c:dPt>
            <c:idx val="2"/>
            <c:spPr>
              <a:solidFill>
                <a:srgbClr val="EA4335"/>
              </a:solidFill>
              <a:ln cmpd="sng">
                <a:solidFill>
                  <a:srgbClr val="000000"/>
                </a:solidFill>
              </a:ln>
            </c:spPr>
          </c:dPt>
          <c:dPt>
            <c:idx val="3"/>
            <c:spPr>
              <a:solidFill>
                <a:srgbClr val="EA4335"/>
              </a:solidFill>
              <a:ln cmpd="sng">
                <a:solidFill>
                  <a:srgbClr val="000000"/>
                </a:solidFill>
              </a:ln>
            </c:spPr>
          </c:dPt>
          <c:dPt>
            <c:idx val="4"/>
            <c:spPr>
              <a:solidFill>
                <a:srgbClr val="EA4335"/>
              </a:solidFill>
              <a:ln cmpd="sng">
                <a:solidFill>
                  <a:srgbClr val="000000"/>
                </a:solidFill>
              </a:ln>
            </c:spPr>
          </c:dPt>
          <c:dPt>
            <c:idx val="5"/>
            <c:spPr>
              <a:solidFill>
                <a:srgbClr val="EA4335"/>
              </a:solidFill>
              <a:ln cmpd="sng">
                <a:solidFill>
                  <a:srgbClr val="000000"/>
                </a:solidFill>
              </a:ln>
            </c:spPr>
          </c:dPt>
          <c:dLbls>
            <c:dLbl>
              <c:idx val="2"/>
              <c:numFmt formatCode="General" sourceLinked="1"/>
              <c:txPr>
                <a:bodyPr/>
                <a:lstStyle/>
                <a:p>
                  <a:pPr lvl="0">
                    <a:defRPr b="0" i="0" sz="1000">
                      <a:solidFill>
                        <a:srgbClr val="000000"/>
                      </a:solidFill>
                      <a:latin typeface="Arial"/>
                    </a:defRPr>
                  </a:pPr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3"/>
              <c:numFmt formatCode="General" sourceLinked="1"/>
              <c:txPr>
                <a:bodyPr/>
                <a:lstStyle/>
                <a:p>
                  <a:pPr lvl="0">
                    <a:defRPr b="0" i="0" sz="1000">
                      <a:solidFill>
                        <a:srgbClr val="000000"/>
                      </a:solidFill>
                      <a:latin typeface="Arial"/>
                    </a:defRPr>
                  </a:pPr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4"/>
              <c:numFmt formatCode="General" sourceLinked="1"/>
              <c:txPr>
                <a:bodyPr/>
                <a:lstStyle/>
                <a:p>
                  <a:pPr lvl="0">
                    <a:defRPr b="0" i="0" sz="1000">
                      <a:solidFill>
                        <a:srgbClr val="000000"/>
                      </a:solidFill>
                      <a:latin typeface="Arial"/>
                    </a:defRPr>
                  </a:pPr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5"/>
              <c:tx>
                <c:rich>
                  <a:bodyPr/>
                  <a:lstStyle/>
                  <a:p>
                    <a:pPr lvl="0">
                      <a:defRPr b="0" i="0" sz="1000">
                        <a:solidFill>
                          <a:srgbClr val="000000"/>
                        </a:solidFill>
                        <a:latin typeface="Roboto"/>
                      </a:defRPr>
                    </a:pPr>
                    <a:r>
                      <a:rPr b="0" i="0" sz="1000">
                        <a:solidFill>
                          <a:srgbClr val="000000"/>
                        </a:solidFill>
                        <a:latin typeface="Roboto"/>
                      </a:rPr>
                      <a:t>4.1</a:t>
                    </a:r>
                  </a:p>
                </c:rich>
              </c:tx>
              <c:numFmt formatCode="General" sourceLinked="1"/>
              <c:txPr>
                <a:bodyPr/>
                <a:lstStyle/>
                <a:p>
                  <a:pPr lvl="0">
                    <a:defRPr b="0" i="0" sz="1000">
                      <a:solidFill>
                        <a:srgbClr val="000000"/>
                      </a:solidFill>
                      <a:latin typeface="Arial"/>
                    </a:defRPr>
                  </a:pPr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</c:dLbl>
            <c:numFmt formatCode="General" sourceLinked="1"/>
            <c:txPr>
              <a:bodyPr/>
              <a:lstStyle/>
              <a:p>
                <a:pPr lvl="0">
                  <a:defRPr b="0" i="0" sz="1000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'Chart Calculations'!$A$57:$A$63</c:f>
            </c:strRef>
          </c:cat>
          <c:val>
            <c:numRef>
              <c:f>'Chart Calculations'!$K$31:$K$37</c:f>
              <c:numCache/>
            </c:numRef>
          </c:val>
        </c:ser>
        <c:ser>
          <c:idx val="2"/>
          <c:order val="2"/>
          <c:tx>
            <c:v>2021</c:v>
          </c:tx>
          <c:spPr>
            <a:solidFill>
              <a:srgbClr val="FBBC04"/>
            </a:solidFill>
            <a:ln cmpd="sng">
              <a:solidFill>
                <a:srgbClr val="000000"/>
              </a:solidFill>
            </a:ln>
          </c:spPr>
          <c:dPt>
            <c:idx val="3"/>
            <c:spPr>
              <a:solidFill>
                <a:srgbClr val="FBBC04"/>
              </a:solidFill>
              <a:ln cmpd="sng">
                <a:solidFill>
                  <a:srgbClr val="000000"/>
                </a:solidFill>
              </a:ln>
            </c:spPr>
          </c:dPt>
          <c:dPt>
            <c:idx val="4"/>
            <c:spPr>
              <a:solidFill>
                <a:srgbClr val="FBBC04"/>
              </a:solidFill>
              <a:ln cmpd="sng">
                <a:solidFill>
                  <a:srgbClr val="000000"/>
                </a:solidFill>
              </a:ln>
            </c:spPr>
          </c:dPt>
          <c:dPt>
            <c:idx val="5"/>
            <c:spPr>
              <a:solidFill>
                <a:srgbClr val="FBBC04"/>
              </a:solidFill>
              <a:ln cmpd="sng">
                <a:solidFill>
                  <a:srgbClr val="000000"/>
                </a:solidFill>
              </a:ln>
            </c:spPr>
          </c:dPt>
          <c:dLbls>
            <c:dLbl>
              <c:idx val="3"/>
              <c:numFmt formatCode="General" sourceLinked="1"/>
              <c:txPr>
                <a:bodyPr/>
                <a:lstStyle/>
                <a:p>
                  <a:pPr lvl="0">
                    <a:defRPr b="0" i="0" sz="1000">
                      <a:solidFill>
                        <a:srgbClr val="000000"/>
                      </a:solidFill>
                      <a:latin typeface="Arial"/>
                    </a:defRPr>
                  </a:pPr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4"/>
              <c:numFmt formatCode="General" sourceLinked="1"/>
              <c:txPr>
                <a:bodyPr/>
                <a:lstStyle/>
                <a:p>
                  <a:pPr lvl="0">
                    <a:defRPr b="0" i="0" sz="1000">
                      <a:solidFill>
                        <a:srgbClr val="000000"/>
                      </a:solidFill>
                      <a:latin typeface="Arial"/>
                    </a:defRPr>
                  </a:pPr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5"/>
              <c:tx>
                <c:rich>
                  <a:bodyPr/>
                  <a:lstStyle/>
                  <a:p>
                    <a:pPr lvl="0">
                      <a:defRPr b="0" i="0" sz="1000">
                        <a:solidFill>
                          <a:srgbClr val="000000"/>
                        </a:solidFill>
                        <a:latin typeface="Roboto"/>
                      </a:defRPr>
                    </a:pPr>
                    <a:r>
                      <a:rPr b="0" i="0" sz="1000">
                        <a:solidFill>
                          <a:srgbClr val="000000"/>
                        </a:solidFill>
                        <a:latin typeface="Roboto"/>
                      </a:rPr>
                      <a:t>3.7</a:t>
                    </a:r>
                  </a:p>
                </c:rich>
              </c:tx>
              <c:numFmt formatCode="General" sourceLinked="1"/>
              <c:txPr>
                <a:bodyPr/>
                <a:lstStyle/>
                <a:p>
                  <a:pPr lvl="0">
                    <a:defRPr b="0" i="0" sz="1000">
                      <a:solidFill>
                        <a:srgbClr val="000000"/>
                      </a:solidFill>
                      <a:latin typeface="Arial"/>
                    </a:defRPr>
                  </a:pPr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</c:dLbl>
            <c:numFmt formatCode="General" sourceLinked="1"/>
            <c:txPr>
              <a:bodyPr/>
              <a:lstStyle/>
              <a:p>
                <a:pPr lvl="0">
                  <a:defRPr b="0" i="0" sz="1000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'Chart Calculations'!$A$57:$A$63</c:f>
            </c:strRef>
          </c:cat>
          <c:val>
            <c:numRef>
              <c:f>'Chart Calculations'!$K$44:$K$50</c:f>
              <c:numCache/>
            </c:numRef>
          </c:val>
        </c:ser>
        <c:ser>
          <c:idx val="3"/>
          <c:order val="3"/>
          <c:tx>
            <c:v>2022 </c:v>
          </c:tx>
          <c:spPr>
            <a:solidFill>
              <a:srgbClr val="34A853"/>
            </a:solidFill>
            <a:ln cmpd="sng">
              <a:solidFill>
                <a:srgbClr val="000000"/>
              </a:solidFill>
            </a:ln>
          </c:spPr>
          <c:dPt>
            <c:idx val="3"/>
            <c:spPr>
              <a:solidFill>
                <a:srgbClr val="34A853"/>
              </a:solidFill>
              <a:ln cmpd="sng">
                <a:solidFill>
                  <a:srgbClr val="000000"/>
                </a:solidFill>
              </a:ln>
            </c:spPr>
          </c:dPt>
          <c:dPt>
            <c:idx val="4"/>
            <c:spPr>
              <a:solidFill>
                <a:srgbClr val="34A853"/>
              </a:solidFill>
              <a:ln cmpd="sng">
                <a:solidFill>
                  <a:srgbClr val="000000"/>
                </a:solidFill>
              </a:ln>
            </c:spPr>
          </c:dPt>
          <c:dPt>
            <c:idx val="5"/>
            <c:spPr>
              <a:solidFill>
                <a:srgbClr val="34A853"/>
              </a:solidFill>
              <a:ln cmpd="sng">
                <a:solidFill>
                  <a:srgbClr val="000000"/>
                </a:solidFill>
              </a:ln>
            </c:spPr>
          </c:dPt>
          <c:dLbls>
            <c:dLbl>
              <c:idx val="3"/>
              <c:numFmt formatCode="General" sourceLinked="1"/>
              <c:txPr>
                <a:bodyPr/>
                <a:lstStyle/>
                <a:p>
                  <a:pPr lvl="0">
                    <a:defRPr b="0" i="0" sz="1000">
                      <a:solidFill>
                        <a:srgbClr val="000000"/>
                      </a:solidFill>
                      <a:latin typeface="Arial"/>
                    </a:defRPr>
                  </a:pPr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4"/>
              <c:numFmt formatCode="General" sourceLinked="1"/>
              <c:txPr>
                <a:bodyPr/>
                <a:lstStyle/>
                <a:p>
                  <a:pPr lvl="0">
                    <a:defRPr b="0" i="0" sz="1000">
                      <a:solidFill>
                        <a:srgbClr val="000000"/>
                      </a:solidFill>
                      <a:latin typeface="Arial"/>
                    </a:defRPr>
                  </a:pPr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5"/>
              <c:tx>
                <c:rich>
                  <a:bodyPr/>
                  <a:lstStyle/>
                  <a:p>
                    <a:pPr lvl="0">
                      <a:defRPr b="0" i="0" sz="1000">
                        <a:solidFill>
                          <a:srgbClr val="000000"/>
                        </a:solidFill>
                        <a:latin typeface="Roboto"/>
                      </a:defRPr>
                    </a:pPr>
                    <a:r>
                      <a:rPr b="0" i="0" sz="1000">
                        <a:solidFill>
                          <a:srgbClr val="000000"/>
                        </a:solidFill>
                        <a:latin typeface="Roboto"/>
                      </a:rPr>
                      <a:t>3.6</a:t>
                    </a:r>
                  </a:p>
                </c:rich>
              </c:tx>
              <c:numFmt formatCode="General" sourceLinked="1"/>
              <c:txPr>
                <a:bodyPr/>
                <a:lstStyle/>
                <a:p>
                  <a:pPr lvl="0">
                    <a:defRPr b="0" i="0" sz="1000">
                      <a:solidFill>
                        <a:srgbClr val="000000"/>
                      </a:solidFill>
                      <a:latin typeface="Arial"/>
                    </a:defRPr>
                  </a:pPr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</c:dLbl>
            <c:numFmt formatCode="General" sourceLinked="1"/>
            <c:txPr>
              <a:bodyPr/>
              <a:lstStyle/>
              <a:p>
                <a:pPr lvl="0">
                  <a:defRPr b="0" i="0" sz="1000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'Chart Calculations'!$A$57:$A$63</c:f>
            </c:strRef>
          </c:cat>
          <c:val>
            <c:numRef>
              <c:f>'Chart Calculations'!$K$57:$K$63</c:f>
              <c:numCache/>
            </c:numRef>
          </c:val>
        </c:ser>
        <c:axId val="1116951526"/>
        <c:axId val="881680724"/>
      </c:barChart>
      <c:catAx>
        <c:axId val="111695152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 i="0" sz="1000">
                    <a:solidFill>
                      <a:srgbClr val="000000"/>
                    </a:solidFill>
                    <a:latin typeface="Arial"/>
                  </a:defRPr>
                </a:pPr>
                <a:r>
                  <a:rPr b="1" i="0" sz="1000">
                    <a:solidFill>
                      <a:srgbClr val="000000"/>
                    </a:solidFill>
                    <a:latin typeface="Arial"/>
                  </a:rPr>
                  <a:t>Macroinvertebrate Metrics</a:t>
                </a:r>
              </a:p>
            </c:rich>
          </c:tx>
          <c:overlay val="0"/>
        </c:title>
        <c:numFmt formatCode="General" sourceLinked="0"/>
        <c:majorTickMark val="none"/>
        <c:minorTickMark val="none"/>
        <c:spPr/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Arial"/>
              </a:defRPr>
            </a:pPr>
          </a:p>
        </c:txPr>
        <c:crossAx val="881680724"/>
      </c:catAx>
      <c:valAx>
        <c:axId val="881680724"/>
        <c:scaling>
          <c:orientation val="minMax"/>
          <c:max val="150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0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Arial"/>
              </a:defRPr>
            </a:pPr>
          </a:p>
        </c:txPr>
        <c:crossAx val="1116951526"/>
      </c:valAx>
    </c:plotArea>
    <c:legend>
      <c:legendPos val="r"/>
      <c:overlay val="0"/>
      <c:txPr>
        <a:bodyPr/>
        <a:lstStyle/>
        <a:p>
          <a:pPr lvl="0">
            <a:defRPr b="0" i="0" sz="1000">
              <a:solidFill>
                <a:srgbClr val="1A1A1A"/>
              </a:solidFill>
              <a:latin typeface="Arial"/>
            </a:defRPr>
          </a:pPr>
        </a:p>
      </c:txPr>
    </c:legend>
    <c:plotVisOnly val="1"/>
  </c:chart>
  <c:spPr>
    <a:solidFill>
      <a:srgbClr val="FFFFFF"/>
    </a:solidFill>
  </c:spPr>
</c:chartSpace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Relationship Id="rId10" Type="http://schemas.openxmlformats.org/officeDocument/2006/relationships/chart" Target="../charts/chart10.xml"/><Relationship Id="rId9" Type="http://schemas.openxmlformats.org/officeDocument/2006/relationships/chart" Target="../charts/chart9.xml"/><Relationship Id="rId5" Type="http://schemas.openxmlformats.org/officeDocument/2006/relationships/chart" Target="../charts/chart5.xml"/><Relationship Id="rId6" Type="http://schemas.openxmlformats.org/officeDocument/2006/relationships/chart" Target="../charts/chart6.xml"/><Relationship Id="rId7" Type="http://schemas.openxmlformats.org/officeDocument/2006/relationships/chart" Target="../charts/chart7.xml"/><Relationship Id="rId8" Type="http://schemas.openxmlformats.org/officeDocument/2006/relationships/chart" Target="../charts/chart8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1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142875</xdr:colOff>
      <xdr:row>0</xdr:row>
      <xdr:rowOff>38100</xdr:rowOff>
    </xdr:from>
    <xdr:ext cx="8867775" cy="3524250"/>
    <xdr:graphicFrame>
      <xdr:nvGraphicFramePr>
        <xdr:cNvPr id="2119741110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0</xdr:col>
      <xdr:colOff>0</xdr:colOff>
      <xdr:row>20</xdr:row>
      <xdr:rowOff>123825</xdr:rowOff>
    </xdr:from>
    <xdr:ext cx="8877300" cy="3543300"/>
    <xdr:graphicFrame>
      <xdr:nvGraphicFramePr>
        <xdr:cNvPr id="216364379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9</xdr:col>
      <xdr:colOff>228600</xdr:colOff>
      <xdr:row>0</xdr:row>
      <xdr:rowOff>38100</xdr:rowOff>
    </xdr:from>
    <xdr:ext cx="8534400" cy="3524250"/>
    <xdr:graphicFrame>
      <xdr:nvGraphicFramePr>
        <xdr:cNvPr id="1271176587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9</xdr:col>
      <xdr:colOff>228600</xdr:colOff>
      <xdr:row>21</xdr:row>
      <xdr:rowOff>38100</xdr:rowOff>
    </xdr:from>
    <xdr:ext cx="8534400" cy="3524250"/>
    <xdr:graphicFrame>
      <xdr:nvGraphicFramePr>
        <xdr:cNvPr id="713603246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  <xdr:oneCellAnchor>
    <xdr:from>
      <xdr:col>0</xdr:col>
      <xdr:colOff>228600</xdr:colOff>
      <xdr:row>40</xdr:row>
      <xdr:rowOff>38100</xdr:rowOff>
    </xdr:from>
    <xdr:ext cx="8534400" cy="3524250"/>
    <xdr:graphicFrame>
      <xdr:nvGraphicFramePr>
        <xdr:cNvPr id="871352993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5"/>
        </a:graphicData>
      </a:graphic>
    </xdr:graphicFrame>
    <xdr:clientData fLocksWithSheet="0"/>
  </xdr:oneCellAnchor>
  <xdr:oneCellAnchor>
    <xdr:from>
      <xdr:col>9</xdr:col>
      <xdr:colOff>228600</xdr:colOff>
      <xdr:row>41</xdr:row>
      <xdr:rowOff>38100</xdr:rowOff>
    </xdr:from>
    <xdr:ext cx="9705975" cy="3524250"/>
    <xdr:graphicFrame>
      <xdr:nvGraphicFramePr>
        <xdr:cNvPr id="121289559" name="Chart 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6"/>
        </a:graphicData>
      </a:graphic>
    </xdr:graphicFrame>
    <xdr:clientData fLocksWithSheet="0"/>
  </xdr:oneCellAnchor>
  <xdr:oneCellAnchor>
    <xdr:from>
      <xdr:col>0</xdr:col>
      <xdr:colOff>228600</xdr:colOff>
      <xdr:row>60</xdr:row>
      <xdr:rowOff>38100</xdr:rowOff>
    </xdr:from>
    <xdr:ext cx="8534400" cy="3524250"/>
    <xdr:graphicFrame>
      <xdr:nvGraphicFramePr>
        <xdr:cNvPr id="1952671947" name="Chart 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7"/>
        </a:graphicData>
      </a:graphic>
    </xdr:graphicFrame>
    <xdr:clientData fLocksWithSheet="0"/>
  </xdr:oneCellAnchor>
  <xdr:oneCellAnchor>
    <xdr:from>
      <xdr:col>9</xdr:col>
      <xdr:colOff>228600</xdr:colOff>
      <xdr:row>60</xdr:row>
      <xdr:rowOff>38100</xdr:rowOff>
    </xdr:from>
    <xdr:ext cx="9705975" cy="3524250"/>
    <xdr:graphicFrame>
      <xdr:nvGraphicFramePr>
        <xdr:cNvPr id="614499781" name="Chart 8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8"/>
        </a:graphicData>
      </a:graphic>
    </xdr:graphicFrame>
    <xdr:clientData fLocksWithSheet="0"/>
  </xdr:oneCellAnchor>
  <xdr:oneCellAnchor>
    <xdr:from>
      <xdr:col>0</xdr:col>
      <xdr:colOff>228600</xdr:colOff>
      <xdr:row>80</xdr:row>
      <xdr:rowOff>38100</xdr:rowOff>
    </xdr:from>
    <xdr:ext cx="8648700" cy="3524250"/>
    <xdr:graphicFrame>
      <xdr:nvGraphicFramePr>
        <xdr:cNvPr id="1828291298" name="Chart 9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9"/>
        </a:graphicData>
      </a:graphic>
    </xdr:graphicFrame>
    <xdr:clientData fLocksWithSheet="0"/>
  </xdr:oneCellAnchor>
  <xdr:oneCellAnchor>
    <xdr:from>
      <xdr:col>9</xdr:col>
      <xdr:colOff>228600</xdr:colOff>
      <xdr:row>80</xdr:row>
      <xdr:rowOff>38100</xdr:rowOff>
    </xdr:from>
    <xdr:ext cx="9705975" cy="3524250"/>
    <xdr:graphicFrame>
      <xdr:nvGraphicFramePr>
        <xdr:cNvPr id="696861166" name="Chart 10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0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228600</xdr:colOff>
      <xdr:row>68</xdr:row>
      <xdr:rowOff>38100</xdr:rowOff>
    </xdr:from>
    <xdr:ext cx="9696450" cy="3524250"/>
    <xdr:graphicFrame>
      <xdr:nvGraphicFramePr>
        <xdr:cNvPr id="596281720" name="Chart 1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2.63" defaultRowHeight="15.0"/>
  <cols>
    <col customWidth="1" min="1" max="1" width="21.5"/>
    <col customWidth="1" min="2" max="2" width="12.63"/>
    <col customWidth="1" min="3" max="3" width="17.0"/>
    <col customWidth="1" min="4" max="4" width="17.25"/>
    <col customWidth="1" min="5" max="6" width="15.5"/>
    <col customWidth="1" min="7" max="7" width="15.13"/>
    <col customWidth="1" min="8" max="8" width="18.5"/>
    <col customWidth="1" min="9" max="9" width="14.5"/>
    <col customWidth="1" min="10" max="10" width="15.13"/>
    <col customWidth="1" min="11" max="11" width="14.63"/>
    <col customWidth="1" min="12" max="12" width="17.13"/>
    <col customWidth="1" min="13" max="13" width="12.25"/>
    <col customWidth="1" min="14" max="14" width="16.0"/>
    <col customWidth="1" min="15" max="15" width="14.13"/>
    <col customWidth="1" min="16" max="16" width="15.75"/>
    <col customWidth="1" min="17" max="17" width="18.5"/>
    <col customWidth="1" min="18" max="18" width="14.5"/>
    <col customWidth="1" min="19" max="19" width="13.63"/>
    <col customWidth="1" hidden="1" min="20" max="20" width="17.13"/>
    <col customWidth="1" min="22" max="24" width="15.75"/>
  </cols>
  <sheetData>
    <row r="1" ht="15.75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</row>
    <row r="2" ht="15.75" customHeight="1">
      <c r="A2" s="3" t="s">
        <v>1</v>
      </c>
      <c r="B2" s="4" t="s">
        <v>2</v>
      </c>
      <c r="C2" s="4" t="s">
        <v>3</v>
      </c>
      <c r="D2" s="4" t="s">
        <v>4</v>
      </c>
      <c r="E2" s="4" t="s">
        <v>4</v>
      </c>
      <c r="F2" s="4" t="s">
        <v>5</v>
      </c>
      <c r="G2" s="4" t="s">
        <v>6</v>
      </c>
      <c r="H2" s="4" t="s">
        <v>7</v>
      </c>
      <c r="I2" s="4" t="s">
        <v>8</v>
      </c>
      <c r="J2" s="4" t="s">
        <v>8</v>
      </c>
      <c r="K2" s="4" t="s">
        <v>9</v>
      </c>
      <c r="L2" s="5" t="s">
        <v>10</v>
      </c>
      <c r="M2" s="5" t="s">
        <v>11</v>
      </c>
      <c r="N2" s="5" t="s">
        <v>12</v>
      </c>
      <c r="O2" s="5" t="s">
        <v>13</v>
      </c>
      <c r="P2" s="5" t="s">
        <v>14</v>
      </c>
      <c r="Q2" s="5" t="s">
        <v>14</v>
      </c>
      <c r="R2" s="5" t="s">
        <v>15</v>
      </c>
      <c r="S2" s="5" t="s">
        <v>16</v>
      </c>
      <c r="T2" s="5" t="s">
        <v>17</v>
      </c>
      <c r="U2" s="5" t="s">
        <v>17</v>
      </c>
      <c r="V2" s="5" t="s">
        <v>18</v>
      </c>
      <c r="W2" s="5" t="s">
        <v>18</v>
      </c>
      <c r="X2" s="5" t="s">
        <v>19</v>
      </c>
    </row>
    <row r="3" ht="15.75" customHeight="1">
      <c r="A3" s="6" t="s">
        <v>20</v>
      </c>
      <c r="B3" s="7" t="s">
        <v>21</v>
      </c>
      <c r="C3" s="7" t="s">
        <v>22</v>
      </c>
      <c r="D3" s="7" t="s">
        <v>23</v>
      </c>
      <c r="E3" s="7" t="s">
        <v>24</v>
      </c>
      <c r="F3" s="7" t="s">
        <v>25</v>
      </c>
      <c r="G3" s="7" t="s">
        <v>26</v>
      </c>
      <c r="H3" s="7" t="s">
        <v>27</v>
      </c>
      <c r="I3" s="7" t="s">
        <v>28</v>
      </c>
      <c r="J3" s="7" t="s">
        <v>29</v>
      </c>
      <c r="K3" s="7" t="s">
        <v>30</v>
      </c>
      <c r="L3" s="5" t="s">
        <v>31</v>
      </c>
      <c r="M3" s="5" t="s">
        <v>32</v>
      </c>
      <c r="N3" s="5" t="s">
        <v>33</v>
      </c>
      <c r="O3" s="5" t="s">
        <v>34</v>
      </c>
      <c r="P3" s="5" t="s">
        <v>35</v>
      </c>
      <c r="Q3" s="5" t="s">
        <v>36</v>
      </c>
      <c r="R3" s="5" t="s">
        <v>37</v>
      </c>
      <c r="S3" s="5" t="s">
        <v>38</v>
      </c>
      <c r="T3" s="5" t="s">
        <v>39</v>
      </c>
      <c r="U3" s="5" t="s">
        <v>40</v>
      </c>
      <c r="V3" s="5" t="s">
        <v>41</v>
      </c>
      <c r="W3" s="5" t="s">
        <v>42</v>
      </c>
      <c r="X3" s="5" t="s">
        <v>43</v>
      </c>
    </row>
    <row r="4" ht="15.75" customHeight="1">
      <c r="A4" s="8" t="s">
        <v>44</v>
      </c>
      <c r="B4" s="9">
        <v>7.0</v>
      </c>
      <c r="C4" s="9">
        <v>17.0</v>
      </c>
      <c r="D4" s="9">
        <v>9.0</v>
      </c>
      <c r="E4" s="9">
        <v>15.0</v>
      </c>
      <c r="F4" s="9">
        <v>11.0</v>
      </c>
      <c r="G4" s="9">
        <v>13.0</v>
      </c>
      <c r="H4" s="9">
        <v>4.0</v>
      </c>
      <c r="I4" s="9">
        <v>20.0</v>
      </c>
      <c r="J4" s="9">
        <v>14.0</v>
      </c>
      <c r="K4" s="9">
        <v>5.0</v>
      </c>
      <c r="L4" s="10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0"/>
    </row>
    <row r="5" ht="15.75" customHeight="1">
      <c r="A5" s="8" t="s">
        <v>45</v>
      </c>
      <c r="B5" s="9">
        <v>7.0</v>
      </c>
      <c r="C5" s="9">
        <v>15.0</v>
      </c>
      <c r="D5" s="9">
        <v>8.0</v>
      </c>
      <c r="E5" s="9">
        <v>13.0</v>
      </c>
      <c r="F5" s="9">
        <v>10.0</v>
      </c>
      <c r="G5" s="9">
        <v>12.0</v>
      </c>
      <c r="H5" s="9">
        <v>3.0</v>
      </c>
      <c r="I5" s="9">
        <v>19.0</v>
      </c>
      <c r="J5" s="9">
        <v>14.0</v>
      </c>
      <c r="K5" s="9">
        <v>5.0</v>
      </c>
      <c r="L5" s="10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0"/>
    </row>
    <row r="6" ht="15.75" customHeight="1">
      <c r="A6" s="8" t="s">
        <v>46</v>
      </c>
      <c r="B6" s="9">
        <v>11.0</v>
      </c>
      <c r="C6" s="9">
        <v>44.0</v>
      </c>
      <c r="D6" s="9">
        <v>21.0</v>
      </c>
      <c r="E6" s="9">
        <v>58.0</v>
      </c>
      <c r="F6" s="9">
        <v>33.0</v>
      </c>
      <c r="G6" s="9">
        <v>31.0</v>
      </c>
      <c r="H6" s="9">
        <v>4.0</v>
      </c>
      <c r="I6" s="9">
        <v>95.0</v>
      </c>
      <c r="J6" s="9">
        <v>53.0</v>
      </c>
      <c r="K6" s="9">
        <v>5.0</v>
      </c>
      <c r="L6" s="10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0"/>
    </row>
    <row r="7" ht="15.75" customHeight="1">
      <c r="A7" s="8" t="s">
        <v>47</v>
      </c>
      <c r="B7" s="9">
        <v>11.0</v>
      </c>
      <c r="C7" s="9">
        <v>40.0</v>
      </c>
      <c r="D7" s="9">
        <v>20.0</v>
      </c>
      <c r="E7" s="9">
        <v>56.0</v>
      </c>
      <c r="F7" s="9">
        <v>32.0</v>
      </c>
      <c r="G7" s="9">
        <v>26.0</v>
      </c>
      <c r="H7" s="9">
        <v>3.0</v>
      </c>
      <c r="I7" s="9">
        <v>93.0</v>
      </c>
      <c r="J7" s="9">
        <v>53.0</v>
      </c>
      <c r="K7" s="9">
        <v>5.0</v>
      </c>
      <c r="L7" s="10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0"/>
    </row>
    <row r="8" ht="27.0" customHeight="1">
      <c r="A8" s="12" t="s">
        <v>48</v>
      </c>
      <c r="B8" s="13">
        <v>6.0</v>
      </c>
      <c r="C8" s="13">
        <v>10.0</v>
      </c>
      <c r="E8" s="13">
        <v>8.0</v>
      </c>
      <c r="F8" s="13">
        <v>5.0</v>
      </c>
      <c r="G8" s="13">
        <v>8.0</v>
      </c>
      <c r="H8" s="13">
        <v>1.0</v>
      </c>
      <c r="I8" s="13">
        <v>12.0</v>
      </c>
      <c r="J8" s="13">
        <v>8.0</v>
      </c>
      <c r="K8" s="13">
        <v>5.0</v>
      </c>
      <c r="L8" s="14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0"/>
    </row>
    <row r="9" ht="15.75" customHeight="1">
      <c r="A9" s="15" t="s">
        <v>49</v>
      </c>
      <c r="B9" s="16">
        <f t="shared" ref="B9:C9" si="1">(B7)/(B6)</f>
        <v>1</v>
      </c>
      <c r="C9" s="16">
        <f t="shared" si="1"/>
        <v>0.9090909091</v>
      </c>
      <c r="D9" s="13">
        <v>5.0</v>
      </c>
      <c r="E9" s="16">
        <f t="shared" ref="E9:K9" si="2">(E7)/(E6)</f>
        <v>0.9655172414</v>
      </c>
      <c r="F9" s="16">
        <f t="shared" si="2"/>
        <v>0.9696969697</v>
      </c>
      <c r="G9" s="16">
        <f t="shared" si="2"/>
        <v>0.8387096774</v>
      </c>
      <c r="H9" s="16">
        <f t="shared" si="2"/>
        <v>0.75</v>
      </c>
      <c r="I9" s="16">
        <f t="shared" si="2"/>
        <v>0.9789473684</v>
      </c>
      <c r="J9" s="16">
        <f t="shared" si="2"/>
        <v>1</v>
      </c>
      <c r="K9" s="16">
        <f t="shared" si="2"/>
        <v>1</v>
      </c>
      <c r="L9" s="17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4"/>
    </row>
    <row r="10" ht="15.75" customHeight="1">
      <c r="A10" s="15" t="s">
        <v>50</v>
      </c>
      <c r="B10" s="18">
        <v>1.82</v>
      </c>
      <c r="C10" s="18">
        <v>3.08</v>
      </c>
      <c r="D10" s="18">
        <v>3.27</v>
      </c>
      <c r="E10" s="18">
        <v>3.1</v>
      </c>
      <c r="F10" s="18">
        <v>2.56</v>
      </c>
      <c r="G10" s="18">
        <v>2.6</v>
      </c>
      <c r="H10" s="18">
        <v>3.95</v>
      </c>
      <c r="I10" s="18">
        <v>2.13</v>
      </c>
      <c r="J10" s="18">
        <v>3.34</v>
      </c>
      <c r="K10" s="18">
        <v>1.5</v>
      </c>
      <c r="L10" s="19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0"/>
    </row>
    <row r="11" ht="15.75" customHeight="1">
      <c r="A11" s="20" t="s">
        <v>51</v>
      </c>
      <c r="B11" s="9" t="s">
        <v>52</v>
      </c>
      <c r="C11" s="9" t="s">
        <v>53</v>
      </c>
      <c r="D11" s="9" t="s">
        <v>54</v>
      </c>
      <c r="E11" s="9" t="s">
        <v>52</v>
      </c>
      <c r="F11" s="9" t="s">
        <v>54</v>
      </c>
      <c r="G11" s="9" t="s">
        <v>52</v>
      </c>
      <c r="H11" s="9" t="s">
        <v>54</v>
      </c>
      <c r="I11" s="9" t="s">
        <v>53</v>
      </c>
      <c r="J11" s="9" t="s">
        <v>52</v>
      </c>
      <c r="K11" s="9" t="s">
        <v>54</v>
      </c>
      <c r="L11" s="10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0"/>
    </row>
    <row r="12" ht="15.75" customHeight="1">
      <c r="A12" s="21" t="s">
        <v>55</v>
      </c>
    </row>
    <row r="13" ht="15.75" customHeight="1"/>
    <row r="14" ht="15.75" customHeight="1">
      <c r="A14" s="22" t="s">
        <v>56</v>
      </c>
    </row>
    <row r="15" ht="15.75" customHeight="1">
      <c r="A15" s="23" t="s">
        <v>1</v>
      </c>
      <c r="B15" s="5" t="s">
        <v>2</v>
      </c>
      <c r="C15" s="5" t="s">
        <v>3</v>
      </c>
      <c r="D15" s="5" t="s">
        <v>4</v>
      </c>
      <c r="E15" s="5" t="s">
        <v>4</v>
      </c>
      <c r="F15" s="5" t="s">
        <v>5</v>
      </c>
      <c r="G15" s="7" t="s">
        <v>15</v>
      </c>
      <c r="H15" s="7" t="s">
        <v>7</v>
      </c>
      <c r="I15" s="7" t="s">
        <v>19</v>
      </c>
      <c r="J15" s="7" t="s">
        <v>19</v>
      </c>
      <c r="K15" s="5" t="s">
        <v>9</v>
      </c>
      <c r="L15" s="24" t="s">
        <v>10</v>
      </c>
      <c r="M15" s="7" t="s">
        <v>11</v>
      </c>
      <c r="N15" s="5" t="s">
        <v>12</v>
      </c>
      <c r="O15" s="7" t="s">
        <v>13</v>
      </c>
      <c r="P15" s="5" t="s">
        <v>14</v>
      </c>
      <c r="Q15" s="5" t="s">
        <v>14</v>
      </c>
      <c r="R15" s="7" t="s">
        <v>15</v>
      </c>
      <c r="S15" s="7" t="s">
        <v>16</v>
      </c>
      <c r="T15" s="7" t="s">
        <v>17</v>
      </c>
      <c r="U15" s="5" t="s">
        <v>17</v>
      </c>
      <c r="V15" s="5" t="s">
        <v>18</v>
      </c>
      <c r="W15" s="5" t="s">
        <v>18</v>
      </c>
      <c r="X15" s="5" t="s">
        <v>19</v>
      </c>
    </row>
    <row r="16" ht="15.75" customHeight="1">
      <c r="A16" s="23" t="s">
        <v>20</v>
      </c>
      <c r="B16" s="5" t="s">
        <v>21</v>
      </c>
      <c r="C16" s="5" t="s">
        <v>22</v>
      </c>
      <c r="D16" s="5" t="s">
        <v>23</v>
      </c>
      <c r="E16" s="5" t="s">
        <v>24</v>
      </c>
      <c r="F16" s="5" t="s">
        <v>25</v>
      </c>
      <c r="G16" s="7" t="s">
        <v>26</v>
      </c>
      <c r="H16" s="7" t="s">
        <v>27</v>
      </c>
      <c r="I16" s="7" t="s">
        <v>28</v>
      </c>
      <c r="J16" s="7" t="s">
        <v>29</v>
      </c>
      <c r="K16" s="5" t="s">
        <v>30</v>
      </c>
      <c r="L16" s="24" t="s">
        <v>31</v>
      </c>
      <c r="M16" s="7" t="s">
        <v>32</v>
      </c>
      <c r="N16" s="5" t="s">
        <v>33</v>
      </c>
      <c r="O16" s="7" t="s">
        <v>34</v>
      </c>
      <c r="P16" s="5" t="s">
        <v>35</v>
      </c>
      <c r="Q16" s="5" t="s">
        <v>36</v>
      </c>
      <c r="R16" s="7" t="s">
        <v>37</v>
      </c>
      <c r="S16" s="7" t="s">
        <v>38</v>
      </c>
      <c r="T16" s="7" t="s">
        <v>39</v>
      </c>
      <c r="U16" s="5" t="s">
        <v>40</v>
      </c>
      <c r="V16" s="5" t="s">
        <v>41</v>
      </c>
      <c r="W16" s="5" t="s">
        <v>42</v>
      </c>
      <c r="X16" s="5" t="s">
        <v>43</v>
      </c>
    </row>
    <row r="17" ht="15.75" customHeight="1">
      <c r="A17" s="25" t="s">
        <v>57</v>
      </c>
      <c r="B17" s="11"/>
      <c r="C17" s="11"/>
      <c r="D17" s="11"/>
      <c r="E17" s="11"/>
      <c r="F17" s="11"/>
      <c r="G17" s="9">
        <v>14.0</v>
      </c>
      <c r="H17" s="9">
        <v>6.0</v>
      </c>
      <c r="I17" s="9">
        <v>22.0</v>
      </c>
      <c r="J17" s="9">
        <v>16.0</v>
      </c>
      <c r="K17" s="10"/>
      <c r="L17" s="26"/>
      <c r="M17" s="13">
        <v>20.0</v>
      </c>
      <c r="N17" s="11"/>
      <c r="O17" s="13">
        <v>13.0</v>
      </c>
      <c r="P17" s="11"/>
      <c r="Q17" s="11"/>
      <c r="R17" s="13">
        <v>19.0</v>
      </c>
      <c r="S17" s="13">
        <v>20.0</v>
      </c>
      <c r="U17" s="11"/>
      <c r="V17" s="11"/>
      <c r="W17" s="11"/>
      <c r="X17" s="10"/>
    </row>
    <row r="18" ht="15.75" customHeight="1">
      <c r="A18" s="25" t="s">
        <v>58</v>
      </c>
      <c r="B18" s="11"/>
      <c r="C18" s="11"/>
      <c r="D18" s="11"/>
      <c r="E18" s="11"/>
      <c r="F18" s="11"/>
      <c r="G18" s="9">
        <v>7.0</v>
      </c>
      <c r="H18" s="9">
        <v>4.0</v>
      </c>
      <c r="I18" s="9">
        <v>14.0</v>
      </c>
      <c r="J18" s="9">
        <v>8.0</v>
      </c>
      <c r="K18" s="10"/>
      <c r="L18" s="26"/>
      <c r="M18" s="13">
        <v>13.0</v>
      </c>
      <c r="N18" s="11"/>
      <c r="O18" s="13">
        <v>8.0</v>
      </c>
      <c r="P18" s="11"/>
      <c r="Q18" s="11"/>
      <c r="R18" s="13">
        <v>12.0</v>
      </c>
      <c r="S18" s="13">
        <v>11.0</v>
      </c>
      <c r="U18" s="11"/>
      <c r="V18" s="11"/>
      <c r="W18" s="11"/>
      <c r="X18" s="10"/>
    </row>
    <row r="19" ht="15.75" customHeight="1">
      <c r="A19" s="25" t="s">
        <v>46</v>
      </c>
      <c r="B19" s="11"/>
      <c r="C19" s="11"/>
      <c r="D19" s="11"/>
      <c r="E19" s="11"/>
      <c r="F19" s="11"/>
      <c r="G19" s="9">
        <v>139.0</v>
      </c>
      <c r="H19" s="9">
        <v>53.0</v>
      </c>
      <c r="I19" s="9">
        <v>220.0</v>
      </c>
      <c r="J19" s="9">
        <v>134.0</v>
      </c>
      <c r="K19" s="10"/>
      <c r="L19" s="26"/>
      <c r="M19" s="13">
        <v>259.0</v>
      </c>
      <c r="N19" s="11"/>
      <c r="O19" s="13">
        <v>210.0</v>
      </c>
      <c r="P19" s="11"/>
      <c r="Q19" s="11"/>
      <c r="R19" s="13">
        <v>243.0</v>
      </c>
      <c r="S19" s="13">
        <v>152.0</v>
      </c>
      <c r="U19" s="11"/>
      <c r="V19" s="11"/>
      <c r="W19" s="11"/>
      <c r="X19" s="10"/>
    </row>
    <row r="20" ht="15.75" customHeight="1">
      <c r="A20" s="25" t="s">
        <v>47</v>
      </c>
      <c r="B20" s="11"/>
      <c r="C20" s="11"/>
      <c r="D20" s="11"/>
      <c r="E20" s="11"/>
      <c r="F20" s="11"/>
      <c r="G20" s="9">
        <v>109.0</v>
      </c>
      <c r="H20" s="9">
        <v>39.0</v>
      </c>
      <c r="I20" s="9">
        <v>180.0</v>
      </c>
      <c r="J20" s="9">
        <v>94.0</v>
      </c>
      <c r="K20" s="10"/>
      <c r="L20" s="26"/>
      <c r="M20" s="13">
        <v>216.0</v>
      </c>
      <c r="N20" s="11"/>
      <c r="O20" s="13">
        <v>164.0</v>
      </c>
      <c r="P20" s="11"/>
      <c r="Q20" s="11"/>
      <c r="R20" s="13">
        <v>196.0</v>
      </c>
      <c r="S20" s="13">
        <v>130.0</v>
      </c>
      <c r="U20" s="11"/>
      <c r="V20" s="11"/>
      <c r="W20" s="11"/>
      <c r="X20" s="10"/>
    </row>
    <row r="21" ht="15.75" customHeight="1">
      <c r="A21" s="15" t="s">
        <v>49</v>
      </c>
      <c r="B21" s="11"/>
      <c r="C21" s="11"/>
      <c r="D21" s="27"/>
      <c r="E21" s="27"/>
      <c r="F21" s="11"/>
      <c r="G21" s="16">
        <v>0.784</v>
      </c>
      <c r="H21" s="16">
        <v>0.736</v>
      </c>
      <c r="I21" s="16">
        <v>0.818</v>
      </c>
      <c r="J21" s="16">
        <v>0.701</v>
      </c>
      <c r="K21" s="17"/>
      <c r="L21" s="28"/>
      <c r="M21" s="29">
        <v>0.834</v>
      </c>
      <c r="N21" s="11"/>
      <c r="O21" s="29">
        <v>0.781</v>
      </c>
      <c r="P21" s="11"/>
      <c r="Q21" s="11"/>
      <c r="R21" s="29">
        <v>0.807</v>
      </c>
      <c r="S21" s="29">
        <v>0.855</v>
      </c>
      <c r="U21" s="11"/>
      <c r="V21" s="11"/>
      <c r="W21" s="11"/>
      <c r="X21" s="10"/>
    </row>
    <row r="22" ht="15.75" customHeight="1">
      <c r="A22" s="30" t="s">
        <v>48</v>
      </c>
      <c r="B22" s="11"/>
      <c r="C22" s="11"/>
      <c r="D22" s="11"/>
      <c r="E22" s="11"/>
      <c r="F22" s="11"/>
      <c r="G22" s="13">
        <v>5.0</v>
      </c>
      <c r="H22" s="13">
        <v>1.0</v>
      </c>
      <c r="I22" s="13">
        <v>8.0</v>
      </c>
      <c r="J22" s="13">
        <v>5.0</v>
      </c>
      <c r="K22" s="14"/>
      <c r="L22" s="31"/>
      <c r="M22" s="13">
        <v>8.0</v>
      </c>
      <c r="N22" s="11"/>
      <c r="O22" s="13">
        <v>4.0</v>
      </c>
      <c r="P22" s="11"/>
      <c r="Q22" s="11"/>
      <c r="R22" s="13">
        <v>8.0</v>
      </c>
      <c r="S22" s="13">
        <v>6.0</v>
      </c>
      <c r="U22" s="11"/>
      <c r="V22" s="11"/>
      <c r="W22" s="11"/>
      <c r="X22" s="14"/>
    </row>
    <row r="23" ht="15.75" customHeight="1">
      <c r="A23" s="15" t="s">
        <v>50</v>
      </c>
      <c r="B23" s="32"/>
      <c r="C23" s="32"/>
      <c r="D23" s="32"/>
      <c r="E23" s="32"/>
      <c r="F23" s="32"/>
      <c r="G23" s="18">
        <v>2.72</v>
      </c>
      <c r="H23" s="18">
        <v>3.71</v>
      </c>
      <c r="I23" s="18">
        <v>2.92</v>
      </c>
      <c r="J23" s="18">
        <v>3.45</v>
      </c>
      <c r="K23" s="19"/>
      <c r="L23" s="33"/>
      <c r="M23" s="13">
        <v>3.08</v>
      </c>
      <c r="N23" s="11"/>
      <c r="O23" s="13">
        <v>3.92</v>
      </c>
      <c r="P23" s="11"/>
      <c r="Q23" s="11"/>
      <c r="R23" s="13">
        <v>2.81</v>
      </c>
      <c r="S23" s="13">
        <v>2.31</v>
      </c>
      <c r="U23" s="11"/>
      <c r="V23" s="11"/>
      <c r="W23" s="11"/>
      <c r="X23" s="10"/>
    </row>
    <row r="24" ht="15.75" customHeight="1">
      <c r="A24" s="25" t="s">
        <v>51</v>
      </c>
      <c r="B24" s="11"/>
      <c r="C24" s="11"/>
      <c r="D24" s="11"/>
      <c r="E24" s="11"/>
      <c r="F24" s="11"/>
      <c r="G24" s="9" t="s">
        <v>54</v>
      </c>
      <c r="H24" s="9" t="s">
        <v>54</v>
      </c>
      <c r="I24" s="9" t="s">
        <v>52</v>
      </c>
      <c r="J24" s="9" t="s">
        <v>54</v>
      </c>
      <c r="K24" s="10"/>
      <c r="L24" s="26"/>
      <c r="M24" s="13" t="s">
        <v>59</v>
      </c>
      <c r="N24" s="11"/>
      <c r="O24" s="13" t="s">
        <v>52</v>
      </c>
      <c r="P24" s="11"/>
      <c r="Q24" s="11"/>
      <c r="R24" s="13" t="s">
        <v>59</v>
      </c>
      <c r="S24" s="13" t="s">
        <v>59</v>
      </c>
      <c r="U24" s="11"/>
      <c r="V24" s="11"/>
      <c r="W24" s="11"/>
      <c r="X24" s="10"/>
    </row>
    <row r="25" ht="15.75" customHeight="1">
      <c r="A25" s="21" t="s">
        <v>60</v>
      </c>
    </row>
    <row r="26" ht="15.75" customHeight="1"/>
    <row r="27" ht="15.75" customHeight="1"/>
    <row r="28" ht="15.75" customHeight="1">
      <c r="A28" s="22" t="s">
        <v>61</v>
      </c>
    </row>
    <row r="29" ht="15.75" customHeight="1">
      <c r="A29" s="23" t="s">
        <v>1</v>
      </c>
      <c r="B29" s="7" t="s">
        <v>62</v>
      </c>
      <c r="C29" s="7" t="s">
        <v>63</v>
      </c>
      <c r="D29" s="7" t="s">
        <v>64</v>
      </c>
      <c r="E29" s="7" t="s">
        <v>65</v>
      </c>
      <c r="F29" s="7" t="s">
        <v>14</v>
      </c>
      <c r="G29" s="7" t="s">
        <v>15</v>
      </c>
      <c r="H29" s="7" t="s">
        <v>13</v>
      </c>
      <c r="I29" s="7" t="s">
        <v>19</v>
      </c>
      <c r="J29" s="7" t="s">
        <v>19</v>
      </c>
      <c r="K29" s="7" t="s">
        <v>9</v>
      </c>
      <c r="L29" s="5" t="s">
        <v>10</v>
      </c>
      <c r="M29" s="7" t="s">
        <v>11</v>
      </c>
      <c r="N29" s="5" t="s">
        <v>12</v>
      </c>
      <c r="O29" s="7" t="s">
        <v>13</v>
      </c>
      <c r="P29" s="7" t="s">
        <v>14</v>
      </c>
      <c r="Q29" s="7" t="s">
        <v>14</v>
      </c>
      <c r="R29" s="7" t="s">
        <v>15</v>
      </c>
      <c r="S29" s="7" t="s">
        <v>16</v>
      </c>
      <c r="T29" s="7" t="s">
        <v>17</v>
      </c>
      <c r="U29" s="7" t="s">
        <v>17</v>
      </c>
      <c r="V29" s="5" t="s">
        <v>18</v>
      </c>
      <c r="W29" s="5" t="s">
        <v>18</v>
      </c>
      <c r="X29" s="7" t="s">
        <v>19</v>
      </c>
    </row>
    <row r="30" ht="15.75" customHeight="1">
      <c r="A30" s="23" t="s">
        <v>66</v>
      </c>
      <c r="B30" s="7" t="s">
        <v>21</v>
      </c>
      <c r="C30" s="7" t="s">
        <v>67</v>
      </c>
      <c r="D30" s="7" t="s">
        <v>23</v>
      </c>
      <c r="E30" s="7" t="s">
        <v>68</v>
      </c>
      <c r="F30" s="7" t="s">
        <v>69</v>
      </c>
      <c r="G30" s="7" t="s">
        <v>26</v>
      </c>
      <c r="H30" s="7" t="s">
        <v>70</v>
      </c>
      <c r="I30" s="7" t="s">
        <v>28</v>
      </c>
      <c r="J30" s="7" t="s">
        <v>71</v>
      </c>
      <c r="K30" s="7" t="s">
        <v>72</v>
      </c>
      <c r="L30" s="5" t="s">
        <v>31</v>
      </c>
      <c r="M30" s="7" t="s">
        <v>32</v>
      </c>
      <c r="N30" s="5" t="s">
        <v>33</v>
      </c>
      <c r="O30" s="7" t="s">
        <v>34</v>
      </c>
      <c r="P30" s="7" t="s">
        <v>35</v>
      </c>
      <c r="Q30" s="7" t="s">
        <v>36</v>
      </c>
      <c r="R30" s="7" t="s">
        <v>37</v>
      </c>
      <c r="S30" s="7" t="s">
        <v>38</v>
      </c>
      <c r="T30" s="7" t="s">
        <v>39</v>
      </c>
      <c r="U30" s="7" t="s">
        <v>73</v>
      </c>
      <c r="V30" s="5" t="s">
        <v>41</v>
      </c>
      <c r="W30" s="5" t="s">
        <v>42</v>
      </c>
      <c r="X30" s="7" t="s">
        <v>43</v>
      </c>
    </row>
    <row r="31" ht="15.75" customHeight="1">
      <c r="A31" s="25" t="s">
        <v>44</v>
      </c>
      <c r="B31" s="9">
        <v>27.0</v>
      </c>
      <c r="C31" s="9">
        <v>20.0</v>
      </c>
      <c r="D31" s="9">
        <v>18.0</v>
      </c>
      <c r="E31" s="9">
        <v>21.0</v>
      </c>
      <c r="F31" s="9">
        <v>31.0</v>
      </c>
      <c r="G31" s="9">
        <v>18.0</v>
      </c>
      <c r="H31" s="9">
        <v>19.0</v>
      </c>
      <c r="I31" s="9">
        <v>31.0</v>
      </c>
      <c r="J31" s="9">
        <v>21.0</v>
      </c>
      <c r="K31" s="9">
        <v>25.0</v>
      </c>
      <c r="L31" s="10"/>
      <c r="M31" s="9">
        <v>23.0</v>
      </c>
      <c r="N31" s="11"/>
      <c r="O31" s="9">
        <v>26.0</v>
      </c>
      <c r="P31" s="9">
        <v>32.0</v>
      </c>
      <c r="Q31" s="9">
        <v>24.0</v>
      </c>
      <c r="R31" s="9">
        <v>23.0</v>
      </c>
      <c r="S31" s="9">
        <v>28.0</v>
      </c>
      <c r="T31" s="34"/>
      <c r="U31" s="9">
        <v>14.0</v>
      </c>
      <c r="V31" s="11"/>
      <c r="W31" s="11"/>
      <c r="X31" s="9">
        <v>34.0</v>
      </c>
    </row>
    <row r="32" ht="15.75" customHeight="1">
      <c r="A32" s="25" t="s">
        <v>45</v>
      </c>
      <c r="B32" s="9">
        <v>21.0</v>
      </c>
      <c r="C32" s="9">
        <v>15.0</v>
      </c>
      <c r="D32" s="9">
        <v>12.0</v>
      </c>
      <c r="E32" s="9">
        <v>14.0</v>
      </c>
      <c r="F32" s="9">
        <v>22.0</v>
      </c>
      <c r="G32" s="9">
        <v>18.0</v>
      </c>
      <c r="H32" s="9">
        <v>14.0</v>
      </c>
      <c r="I32" s="9">
        <v>20.0</v>
      </c>
      <c r="J32" s="9">
        <v>16.0</v>
      </c>
      <c r="K32" s="9">
        <v>17.0</v>
      </c>
      <c r="L32" s="10"/>
      <c r="M32" s="9">
        <v>17.0</v>
      </c>
      <c r="N32" s="11"/>
      <c r="O32" s="9">
        <v>21.0</v>
      </c>
      <c r="P32" s="9">
        <v>25.0</v>
      </c>
      <c r="Q32" s="9">
        <v>15.0</v>
      </c>
      <c r="R32" s="9">
        <v>18.0</v>
      </c>
      <c r="S32" s="9">
        <v>21.0</v>
      </c>
      <c r="T32" s="34"/>
      <c r="U32" s="9">
        <v>6.0</v>
      </c>
      <c r="V32" s="11"/>
      <c r="W32" s="11"/>
      <c r="X32" s="9">
        <v>26.0</v>
      </c>
    </row>
    <row r="33" ht="15.75" customHeight="1">
      <c r="A33" s="25" t="s">
        <v>46</v>
      </c>
      <c r="B33" s="9">
        <v>69.0</v>
      </c>
      <c r="C33" s="9">
        <v>86.0</v>
      </c>
      <c r="D33" s="9">
        <v>53.0</v>
      </c>
      <c r="E33" s="9">
        <v>64.0</v>
      </c>
      <c r="F33" s="9">
        <v>114.0</v>
      </c>
      <c r="G33" s="9">
        <v>62.0</v>
      </c>
      <c r="H33" s="9">
        <v>50.0</v>
      </c>
      <c r="I33" s="9">
        <v>138.0</v>
      </c>
      <c r="J33" s="9">
        <v>59.0</v>
      </c>
      <c r="K33" s="9">
        <v>66.0</v>
      </c>
      <c r="L33" s="10"/>
      <c r="M33" s="9">
        <v>55.0</v>
      </c>
      <c r="N33" s="11"/>
      <c r="O33" s="9">
        <v>116.0</v>
      </c>
      <c r="P33" s="9">
        <v>96.0</v>
      </c>
      <c r="Q33" s="9">
        <v>71.0</v>
      </c>
      <c r="R33" s="9">
        <v>72.0</v>
      </c>
      <c r="S33" s="9">
        <v>90.0</v>
      </c>
      <c r="T33" s="34"/>
      <c r="U33" s="9">
        <v>57.0</v>
      </c>
      <c r="V33" s="11"/>
      <c r="W33" s="11"/>
      <c r="X33" s="9">
        <v>138.0</v>
      </c>
    </row>
    <row r="34" ht="15.75" customHeight="1">
      <c r="A34" s="25" t="s">
        <v>47</v>
      </c>
      <c r="B34" s="9">
        <v>56.0</v>
      </c>
      <c r="C34" s="9">
        <v>68.0</v>
      </c>
      <c r="D34" s="9">
        <v>25.0</v>
      </c>
      <c r="E34" s="9">
        <v>40.0</v>
      </c>
      <c r="F34" s="9">
        <v>94.0</v>
      </c>
      <c r="G34" s="9">
        <v>62.0</v>
      </c>
      <c r="H34" s="9">
        <v>39.0</v>
      </c>
      <c r="I34" s="9">
        <v>108.0</v>
      </c>
      <c r="J34" s="9">
        <v>35.0</v>
      </c>
      <c r="K34" s="9">
        <v>36.0</v>
      </c>
      <c r="L34" s="10"/>
      <c r="M34" s="9">
        <v>40.0</v>
      </c>
      <c r="N34" s="11"/>
      <c r="O34" s="9">
        <v>108.0</v>
      </c>
      <c r="P34" s="9">
        <v>81.0</v>
      </c>
      <c r="Q34" s="9">
        <v>54.0</v>
      </c>
      <c r="R34" s="9">
        <v>64.0</v>
      </c>
      <c r="S34" s="9">
        <v>76.0</v>
      </c>
      <c r="T34" s="34"/>
      <c r="U34" s="9">
        <v>36.0</v>
      </c>
      <c r="V34" s="11"/>
      <c r="W34" s="11"/>
      <c r="X34" s="9">
        <v>107.0</v>
      </c>
    </row>
    <row r="35" ht="15.75" customHeight="1">
      <c r="A35" s="25" t="s">
        <v>49</v>
      </c>
      <c r="B35" s="16">
        <v>0.812</v>
      </c>
      <c r="C35" s="16">
        <v>0.791</v>
      </c>
      <c r="D35" s="16">
        <v>0.472</v>
      </c>
      <c r="E35" s="16">
        <v>0.625</v>
      </c>
      <c r="F35" s="16">
        <v>0.825</v>
      </c>
      <c r="G35" s="16">
        <v>1.0</v>
      </c>
      <c r="H35" s="16">
        <v>0.78</v>
      </c>
      <c r="I35" s="16">
        <v>0.783</v>
      </c>
      <c r="J35" s="16">
        <v>0.593</v>
      </c>
      <c r="K35" s="16">
        <v>0.545</v>
      </c>
      <c r="L35" s="14"/>
      <c r="M35" s="35">
        <v>0.727</v>
      </c>
      <c r="N35" s="27"/>
      <c r="O35" s="35">
        <v>0.931</v>
      </c>
      <c r="P35" s="35">
        <v>0.844</v>
      </c>
      <c r="Q35" s="35">
        <v>0.761</v>
      </c>
      <c r="R35" s="35">
        <v>0.889</v>
      </c>
      <c r="S35" s="35">
        <v>0.844</v>
      </c>
      <c r="T35" s="34"/>
      <c r="U35" s="35">
        <v>0.632</v>
      </c>
      <c r="V35" s="11"/>
      <c r="W35" s="11"/>
      <c r="X35" s="35">
        <v>0.775</v>
      </c>
    </row>
    <row r="36" ht="15.75" customHeight="1">
      <c r="A36" s="30" t="s">
        <v>48</v>
      </c>
      <c r="B36" s="13">
        <v>11.0</v>
      </c>
      <c r="C36" s="13">
        <v>9.0</v>
      </c>
      <c r="D36" s="13">
        <v>6.0</v>
      </c>
      <c r="E36" s="13">
        <v>11.0</v>
      </c>
      <c r="F36" s="13">
        <v>12.0</v>
      </c>
      <c r="G36" s="13">
        <v>10.0</v>
      </c>
      <c r="H36" s="13">
        <v>7.0</v>
      </c>
      <c r="I36" s="13">
        <v>13.0</v>
      </c>
      <c r="J36" s="13">
        <v>11.0</v>
      </c>
      <c r="K36" s="13">
        <v>10.0</v>
      </c>
      <c r="L36" s="17"/>
      <c r="M36" s="9">
        <v>14.0</v>
      </c>
      <c r="N36" s="11"/>
      <c r="O36" s="9">
        <v>11.0</v>
      </c>
      <c r="P36" s="9">
        <v>15.0</v>
      </c>
      <c r="Q36" s="9">
        <v>9.0</v>
      </c>
      <c r="R36" s="9">
        <v>12.0</v>
      </c>
      <c r="S36" s="9">
        <v>15.0</v>
      </c>
      <c r="T36" s="34"/>
      <c r="U36" s="9">
        <v>3.0</v>
      </c>
      <c r="V36" s="11"/>
      <c r="W36" s="11"/>
      <c r="X36" s="9">
        <v>13.0</v>
      </c>
    </row>
    <row r="37" ht="15.75" customHeight="1">
      <c r="A37" s="15" t="s">
        <v>50</v>
      </c>
      <c r="B37" s="18">
        <v>3.34</v>
      </c>
      <c r="C37" s="18">
        <v>3.6</v>
      </c>
      <c r="D37" s="18">
        <v>4.56</v>
      </c>
      <c r="E37" s="18">
        <v>2.89</v>
      </c>
      <c r="F37" s="18">
        <v>3.83</v>
      </c>
      <c r="G37" s="18">
        <v>3.76</v>
      </c>
      <c r="H37" s="18">
        <v>3.62</v>
      </c>
      <c r="I37" s="18">
        <v>3.03</v>
      </c>
      <c r="J37" s="18">
        <v>3.29</v>
      </c>
      <c r="K37" s="18">
        <v>4.05</v>
      </c>
      <c r="L37" s="19"/>
      <c r="M37" s="9">
        <v>2.77</v>
      </c>
      <c r="N37" s="11"/>
      <c r="O37" s="9">
        <v>2.84</v>
      </c>
      <c r="P37" s="9">
        <v>2.62</v>
      </c>
      <c r="Q37" s="9">
        <v>4.41</v>
      </c>
      <c r="R37" s="9">
        <v>2.8</v>
      </c>
      <c r="S37" s="9">
        <v>3.48</v>
      </c>
      <c r="T37" s="34"/>
      <c r="U37" s="9">
        <v>5.09</v>
      </c>
      <c r="V37" s="11"/>
      <c r="W37" s="11"/>
      <c r="X37" s="9">
        <v>4.82</v>
      </c>
    </row>
    <row r="38" ht="15.75" customHeight="1">
      <c r="A38" s="25" t="s">
        <v>51</v>
      </c>
      <c r="B38" s="9" t="s">
        <v>74</v>
      </c>
      <c r="C38" s="9" t="s">
        <v>53</v>
      </c>
      <c r="D38" s="9" t="s">
        <v>52</v>
      </c>
      <c r="E38" s="9" t="s">
        <v>52</v>
      </c>
      <c r="F38" s="9" t="s">
        <v>53</v>
      </c>
      <c r="G38" s="9" t="s">
        <v>52</v>
      </c>
      <c r="H38" s="9" t="s">
        <v>52</v>
      </c>
      <c r="I38" s="9" t="s">
        <v>53</v>
      </c>
      <c r="J38" s="9" t="s">
        <v>52</v>
      </c>
      <c r="K38" s="9" t="s">
        <v>52</v>
      </c>
      <c r="L38" s="10"/>
      <c r="M38" s="9" t="s">
        <v>52</v>
      </c>
      <c r="N38" s="11"/>
      <c r="O38" s="9" t="s">
        <v>59</v>
      </c>
      <c r="P38" s="9" t="s">
        <v>59</v>
      </c>
      <c r="Q38" s="9" t="s">
        <v>52</v>
      </c>
      <c r="R38" s="9" t="s">
        <v>52</v>
      </c>
      <c r="S38" s="9" t="s">
        <v>59</v>
      </c>
      <c r="T38" s="34"/>
      <c r="U38" s="9" t="s">
        <v>54</v>
      </c>
      <c r="V38" s="11"/>
      <c r="W38" s="11"/>
      <c r="X38" s="9" t="s">
        <v>59</v>
      </c>
    </row>
    <row r="39" ht="15.75" customHeight="1">
      <c r="A39" s="21" t="s">
        <v>55</v>
      </c>
    </row>
    <row r="40" ht="15.75" customHeight="1"/>
    <row r="41" ht="15.75" customHeight="1">
      <c r="A41" s="22" t="s">
        <v>75</v>
      </c>
    </row>
    <row r="42" ht="15.75" customHeight="1">
      <c r="A42" s="23" t="s">
        <v>1</v>
      </c>
      <c r="B42" s="7" t="s">
        <v>62</v>
      </c>
      <c r="C42" s="7" t="s">
        <v>76</v>
      </c>
      <c r="D42" s="7" t="s">
        <v>77</v>
      </c>
      <c r="E42" s="7" t="s">
        <v>77</v>
      </c>
      <c r="F42" s="7" t="s">
        <v>14</v>
      </c>
      <c r="G42" s="7" t="s">
        <v>15</v>
      </c>
      <c r="H42" s="7" t="s">
        <v>13</v>
      </c>
      <c r="I42" s="5" t="s">
        <v>19</v>
      </c>
      <c r="J42" s="5" t="s">
        <v>19</v>
      </c>
      <c r="K42" s="7" t="s">
        <v>78</v>
      </c>
      <c r="L42" s="5" t="s">
        <v>10</v>
      </c>
      <c r="M42" s="5" t="s">
        <v>11</v>
      </c>
      <c r="N42" s="5" t="s">
        <v>12</v>
      </c>
      <c r="O42" s="5" t="s">
        <v>13</v>
      </c>
      <c r="P42" s="5" t="s">
        <v>14</v>
      </c>
      <c r="Q42" s="5" t="s">
        <v>14</v>
      </c>
      <c r="R42" s="5" t="s">
        <v>15</v>
      </c>
      <c r="S42" s="5" t="s">
        <v>16</v>
      </c>
      <c r="T42" s="7" t="s">
        <v>17</v>
      </c>
      <c r="U42" s="7" t="s">
        <v>17</v>
      </c>
      <c r="V42" s="5" t="s">
        <v>18</v>
      </c>
      <c r="W42" s="5" t="s">
        <v>18</v>
      </c>
      <c r="X42" s="7" t="s">
        <v>19</v>
      </c>
    </row>
    <row r="43" ht="15.75" customHeight="1">
      <c r="A43" s="23" t="s">
        <v>66</v>
      </c>
      <c r="B43" s="7" t="s">
        <v>79</v>
      </c>
      <c r="C43" s="7" t="s">
        <v>80</v>
      </c>
      <c r="D43" s="7" t="s">
        <v>23</v>
      </c>
      <c r="E43" s="7" t="s">
        <v>24</v>
      </c>
      <c r="F43" s="7" t="s">
        <v>40</v>
      </c>
      <c r="G43" s="7" t="s">
        <v>81</v>
      </c>
      <c r="H43" s="7" t="s">
        <v>27</v>
      </c>
      <c r="I43" s="5" t="s">
        <v>28</v>
      </c>
      <c r="J43" s="5" t="s">
        <v>71</v>
      </c>
      <c r="K43" s="7" t="s">
        <v>82</v>
      </c>
      <c r="L43" s="5" t="s">
        <v>31</v>
      </c>
      <c r="M43" s="5" t="s">
        <v>32</v>
      </c>
      <c r="N43" s="5" t="s">
        <v>33</v>
      </c>
      <c r="O43" s="5" t="s">
        <v>34</v>
      </c>
      <c r="P43" s="5" t="s">
        <v>35</v>
      </c>
      <c r="Q43" s="5" t="s">
        <v>36</v>
      </c>
      <c r="R43" s="5" t="s">
        <v>37</v>
      </c>
      <c r="S43" s="5" t="s">
        <v>38</v>
      </c>
      <c r="T43" s="7" t="s">
        <v>39</v>
      </c>
      <c r="U43" s="7" t="s">
        <v>40</v>
      </c>
      <c r="V43" s="5" t="s">
        <v>41</v>
      </c>
      <c r="W43" s="5" t="s">
        <v>42</v>
      </c>
      <c r="X43" s="7" t="s">
        <v>43</v>
      </c>
    </row>
    <row r="44" ht="15.75" customHeight="1">
      <c r="A44" s="25" t="s">
        <v>44</v>
      </c>
      <c r="B44" s="9">
        <v>19.0</v>
      </c>
      <c r="C44" s="9">
        <v>22.0</v>
      </c>
      <c r="D44" s="9">
        <v>7.0</v>
      </c>
      <c r="E44" s="9">
        <v>22.0</v>
      </c>
      <c r="F44" s="9">
        <v>18.0</v>
      </c>
      <c r="G44" s="9">
        <v>27.0</v>
      </c>
      <c r="H44" s="9">
        <v>19.0</v>
      </c>
      <c r="I44" s="10"/>
      <c r="J44" s="10"/>
      <c r="K44" s="9">
        <v>29.0</v>
      </c>
      <c r="L44" s="10"/>
      <c r="M44" s="11"/>
      <c r="N44" s="11"/>
      <c r="O44" s="11"/>
      <c r="P44" s="11"/>
      <c r="Q44" s="11"/>
      <c r="R44" s="11"/>
      <c r="S44" s="11"/>
      <c r="U44" s="9">
        <v>14.0</v>
      </c>
      <c r="V44" s="11"/>
      <c r="W44" s="11"/>
      <c r="X44" s="9">
        <v>25.0</v>
      </c>
    </row>
    <row r="45" ht="15.75" customHeight="1">
      <c r="A45" s="25" t="s">
        <v>45</v>
      </c>
      <c r="B45" s="9">
        <v>13.0</v>
      </c>
      <c r="C45" s="9">
        <v>19.0</v>
      </c>
      <c r="D45" s="9">
        <v>3.0</v>
      </c>
      <c r="E45" s="9">
        <v>15.0</v>
      </c>
      <c r="F45" s="9">
        <v>14.0</v>
      </c>
      <c r="G45" s="9">
        <v>20.0</v>
      </c>
      <c r="H45" s="9">
        <v>15.0</v>
      </c>
      <c r="I45" s="10"/>
      <c r="J45" s="10"/>
      <c r="K45" s="9">
        <v>18.0</v>
      </c>
      <c r="L45" s="10"/>
      <c r="M45" s="11"/>
      <c r="N45" s="11"/>
      <c r="O45" s="11"/>
      <c r="P45" s="11"/>
      <c r="Q45" s="11"/>
      <c r="R45" s="11"/>
      <c r="S45" s="11"/>
      <c r="U45" s="9">
        <v>8.0</v>
      </c>
      <c r="V45" s="11"/>
      <c r="W45" s="11"/>
      <c r="X45" s="9">
        <v>21.0</v>
      </c>
    </row>
    <row r="46" ht="15.75" customHeight="1">
      <c r="A46" s="25" t="s">
        <v>46</v>
      </c>
      <c r="B46" s="9">
        <v>70.0</v>
      </c>
      <c r="C46" s="9">
        <v>155.0</v>
      </c>
      <c r="D46" s="9">
        <v>16.0</v>
      </c>
      <c r="E46" s="9">
        <v>85.0</v>
      </c>
      <c r="F46" s="9">
        <v>53.0</v>
      </c>
      <c r="G46" s="9">
        <v>107.0</v>
      </c>
      <c r="H46" s="9">
        <v>124.0</v>
      </c>
      <c r="I46" s="10"/>
      <c r="J46" s="10"/>
      <c r="K46" s="9">
        <v>77.0</v>
      </c>
      <c r="L46" s="10"/>
      <c r="M46" s="11"/>
      <c r="N46" s="11"/>
      <c r="O46" s="11"/>
      <c r="P46" s="11"/>
      <c r="Q46" s="11"/>
      <c r="R46" s="11"/>
      <c r="S46" s="11"/>
      <c r="U46" s="9">
        <v>31.0</v>
      </c>
      <c r="V46" s="11"/>
      <c r="W46" s="11"/>
      <c r="X46" s="9">
        <v>111.0</v>
      </c>
    </row>
    <row r="47" ht="15.75" customHeight="1">
      <c r="A47" s="25" t="s">
        <v>47</v>
      </c>
      <c r="B47" s="9">
        <v>59.0</v>
      </c>
      <c r="C47" s="9">
        <v>152.0</v>
      </c>
      <c r="D47" s="9">
        <v>11.0</v>
      </c>
      <c r="E47" s="9">
        <v>72.0</v>
      </c>
      <c r="F47" s="9">
        <v>44.0</v>
      </c>
      <c r="G47" s="9">
        <v>89.0</v>
      </c>
      <c r="H47" s="9">
        <v>118.0</v>
      </c>
      <c r="I47" s="10"/>
      <c r="J47" s="10"/>
      <c r="K47" s="9">
        <v>62.0</v>
      </c>
      <c r="L47" s="10"/>
      <c r="M47" s="11"/>
      <c r="N47" s="11"/>
      <c r="O47" s="11"/>
      <c r="P47" s="11"/>
      <c r="Q47" s="11"/>
      <c r="R47" s="11"/>
      <c r="S47" s="11"/>
      <c r="U47" s="9">
        <v>15.0</v>
      </c>
      <c r="V47" s="11"/>
      <c r="W47" s="11"/>
      <c r="X47" s="9">
        <v>107.0</v>
      </c>
    </row>
    <row r="48" ht="15.75" customHeight="1">
      <c r="A48" s="25" t="s">
        <v>49</v>
      </c>
      <c r="B48" s="16">
        <v>0.843</v>
      </c>
      <c r="C48" s="16">
        <v>0.981</v>
      </c>
      <c r="D48" s="16">
        <v>0.688</v>
      </c>
      <c r="E48" s="16">
        <v>0.847</v>
      </c>
      <c r="F48" s="16">
        <v>0.83</v>
      </c>
      <c r="G48" s="16">
        <v>0.832</v>
      </c>
      <c r="H48" s="16">
        <v>0.952</v>
      </c>
      <c r="I48" s="14"/>
      <c r="J48" s="14"/>
      <c r="K48" s="16">
        <v>0.805</v>
      </c>
      <c r="L48" s="14"/>
      <c r="M48" s="11"/>
      <c r="N48" s="11"/>
      <c r="O48" s="11"/>
      <c r="P48" s="11"/>
      <c r="Q48" s="11"/>
      <c r="R48" s="11"/>
      <c r="S48" s="11"/>
      <c r="U48" s="35">
        <v>0.484</v>
      </c>
      <c r="V48" s="11"/>
      <c r="W48" s="11"/>
      <c r="X48" s="35">
        <v>0.964</v>
      </c>
    </row>
    <row r="49" ht="15.75" customHeight="1">
      <c r="A49" s="30" t="s">
        <v>48</v>
      </c>
      <c r="B49" s="13">
        <v>8.0</v>
      </c>
      <c r="C49" s="13">
        <v>12.0</v>
      </c>
      <c r="D49" s="13">
        <v>1.0</v>
      </c>
      <c r="E49" s="13">
        <v>10.0</v>
      </c>
      <c r="F49" s="13">
        <v>8.0</v>
      </c>
      <c r="G49" s="13">
        <v>16.0</v>
      </c>
      <c r="H49" s="13">
        <v>10.0</v>
      </c>
      <c r="I49" s="17"/>
      <c r="J49" s="17"/>
      <c r="K49" s="13">
        <v>14.0</v>
      </c>
      <c r="L49" s="17"/>
      <c r="M49" s="11"/>
      <c r="N49" s="11"/>
      <c r="O49" s="11"/>
      <c r="P49" s="11"/>
      <c r="Q49" s="11"/>
      <c r="R49" s="11"/>
      <c r="S49" s="11"/>
      <c r="U49" s="9">
        <v>4.0</v>
      </c>
      <c r="V49" s="11"/>
      <c r="W49" s="11"/>
      <c r="X49" s="9">
        <v>13.0</v>
      </c>
    </row>
    <row r="50" ht="15.75" customHeight="1">
      <c r="A50" s="15" t="s">
        <v>50</v>
      </c>
      <c r="B50" s="36">
        <v>3.69</v>
      </c>
      <c r="C50" s="36">
        <v>2.9</v>
      </c>
      <c r="D50" s="36">
        <v>4.58</v>
      </c>
      <c r="E50" s="36">
        <v>3.49</v>
      </c>
      <c r="F50" s="36">
        <v>3.45</v>
      </c>
      <c r="G50" s="36">
        <v>3.16</v>
      </c>
      <c r="H50" s="36">
        <v>3.46</v>
      </c>
      <c r="I50" s="19"/>
      <c r="J50" s="19"/>
      <c r="K50" s="18">
        <v>3.72</v>
      </c>
      <c r="L50" s="19"/>
      <c r="M50" s="11"/>
      <c r="N50" s="11"/>
      <c r="O50" s="11"/>
      <c r="P50" s="11"/>
      <c r="Q50" s="11"/>
      <c r="R50" s="11"/>
      <c r="S50" s="11"/>
      <c r="U50" s="9">
        <v>3.44</v>
      </c>
      <c r="V50" s="11"/>
      <c r="W50" s="11"/>
      <c r="X50" s="9">
        <v>3.09</v>
      </c>
    </row>
    <row r="51" ht="15.75" customHeight="1">
      <c r="A51" s="25" t="s">
        <v>51</v>
      </c>
      <c r="B51" s="9" t="s">
        <v>74</v>
      </c>
      <c r="C51" s="9" t="s">
        <v>53</v>
      </c>
      <c r="D51" s="9" t="s">
        <v>54</v>
      </c>
      <c r="E51" s="9" t="s">
        <v>52</v>
      </c>
      <c r="F51" s="9" t="s">
        <v>52</v>
      </c>
      <c r="G51" s="9" t="s">
        <v>53</v>
      </c>
      <c r="H51" s="9" t="s">
        <v>52</v>
      </c>
      <c r="I51" s="10"/>
      <c r="J51" s="10"/>
      <c r="K51" s="9" t="s">
        <v>52</v>
      </c>
      <c r="L51" s="10"/>
      <c r="M51" s="11"/>
      <c r="N51" s="11"/>
      <c r="O51" s="11"/>
      <c r="P51" s="11"/>
      <c r="Q51" s="11"/>
      <c r="R51" s="11"/>
      <c r="S51" s="11"/>
      <c r="U51" s="9" t="s">
        <v>54</v>
      </c>
      <c r="V51" s="10"/>
      <c r="W51" s="10"/>
      <c r="X51" s="9" t="s">
        <v>59</v>
      </c>
    </row>
    <row r="52" ht="15.75" customHeight="1">
      <c r="A52" s="21" t="s">
        <v>55</v>
      </c>
    </row>
    <row r="53" ht="15.75" customHeight="1"/>
    <row r="54" ht="15.75" customHeight="1">
      <c r="A54" s="22" t="s">
        <v>83</v>
      </c>
    </row>
    <row r="55" ht="15.75" customHeight="1">
      <c r="A55" s="23" t="s">
        <v>1</v>
      </c>
      <c r="B55" s="7" t="s">
        <v>62</v>
      </c>
      <c r="C55" s="7" t="s">
        <v>63</v>
      </c>
      <c r="D55" s="7" t="s">
        <v>4</v>
      </c>
      <c r="E55" s="7" t="s">
        <v>4</v>
      </c>
      <c r="F55" s="7" t="s">
        <v>14</v>
      </c>
      <c r="G55" s="7" t="s">
        <v>15</v>
      </c>
      <c r="H55" s="7" t="s">
        <v>13</v>
      </c>
      <c r="I55" s="7" t="s">
        <v>19</v>
      </c>
      <c r="J55" s="7" t="s">
        <v>19</v>
      </c>
      <c r="K55" s="7" t="s">
        <v>78</v>
      </c>
      <c r="L55" s="7" t="s">
        <v>10</v>
      </c>
      <c r="M55" s="5" t="s">
        <v>11</v>
      </c>
      <c r="N55" s="5" t="s">
        <v>12</v>
      </c>
      <c r="O55" s="5" t="s">
        <v>13</v>
      </c>
      <c r="P55" s="5" t="s">
        <v>14</v>
      </c>
      <c r="Q55" s="5" t="s">
        <v>14</v>
      </c>
      <c r="R55" s="5" t="s">
        <v>15</v>
      </c>
      <c r="S55" s="5" t="s">
        <v>16</v>
      </c>
      <c r="T55" s="5" t="s">
        <v>17</v>
      </c>
      <c r="U55" s="5" t="s">
        <v>17</v>
      </c>
      <c r="V55" s="7" t="s">
        <v>18</v>
      </c>
      <c r="W55" s="7" t="s">
        <v>18</v>
      </c>
      <c r="X55" s="5" t="s">
        <v>19</v>
      </c>
    </row>
    <row r="56" ht="15.75" customHeight="1">
      <c r="A56" s="23" t="s">
        <v>66</v>
      </c>
      <c r="B56" s="7" t="s">
        <v>84</v>
      </c>
      <c r="C56" s="7" t="s">
        <v>85</v>
      </c>
      <c r="D56" s="7" t="s">
        <v>23</v>
      </c>
      <c r="E56" s="7" t="s">
        <v>86</v>
      </c>
      <c r="F56" s="7" t="s">
        <v>40</v>
      </c>
      <c r="G56" s="7" t="s">
        <v>87</v>
      </c>
      <c r="H56" s="7" t="s">
        <v>27</v>
      </c>
      <c r="I56" s="7" t="s">
        <v>28</v>
      </c>
      <c r="J56" s="7" t="s">
        <v>88</v>
      </c>
      <c r="K56" s="7" t="s">
        <v>89</v>
      </c>
      <c r="L56" s="7" t="s">
        <v>31</v>
      </c>
      <c r="M56" s="5" t="s">
        <v>32</v>
      </c>
      <c r="N56" s="5" t="s">
        <v>33</v>
      </c>
      <c r="O56" s="5" t="s">
        <v>34</v>
      </c>
      <c r="P56" s="5" t="s">
        <v>35</v>
      </c>
      <c r="Q56" s="5" t="s">
        <v>36</v>
      </c>
      <c r="R56" s="5" t="s">
        <v>37</v>
      </c>
      <c r="S56" s="5" t="s">
        <v>38</v>
      </c>
      <c r="T56" s="5" t="s">
        <v>39</v>
      </c>
      <c r="U56" s="5" t="s">
        <v>40</v>
      </c>
      <c r="V56" s="7" t="s">
        <v>41</v>
      </c>
      <c r="W56" s="7" t="s">
        <v>42</v>
      </c>
      <c r="X56" s="5" t="s">
        <v>43</v>
      </c>
    </row>
    <row r="57" ht="15.75" customHeight="1">
      <c r="A57" s="25" t="s">
        <v>44</v>
      </c>
      <c r="B57" s="9">
        <v>14.0</v>
      </c>
      <c r="C57" s="9">
        <v>30.0</v>
      </c>
      <c r="D57" s="9">
        <v>19.0</v>
      </c>
      <c r="E57" s="9">
        <v>23.0</v>
      </c>
      <c r="F57" s="9">
        <v>31.0</v>
      </c>
      <c r="G57" s="9">
        <v>27.0</v>
      </c>
      <c r="H57" s="9">
        <v>29.0</v>
      </c>
      <c r="I57" s="9">
        <v>35.0</v>
      </c>
      <c r="J57" s="9">
        <v>33.0</v>
      </c>
      <c r="K57" s="9">
        <v>20.0</v>
      </c>
      <c r="L57" s="9">
        <v>18.0</v>
      </c>
      <c r="M57" s="11"/>
      <c r="N57" s="11"/>
      <c r="O57" s="11"/>
      <c r="P57" s="11"/>
      <c r="Q57" s="11"/>
      <c r="R57" s="11"/>
      <c r="S57" s="11"/>
      <c r="T57" s="11"/>
      <c r="U57" s="11"/>
      <c r="V57" s="34">
        <v>21.0</v>
      </c>
      <c r="W57" s="34">
        <v>21.0</v>
      </c>
      <c r="X57" s="10"/>
    </row>
    <row r="58" ht="15.75" customHeight="1">
      <c r="A58" s="25" t="s">
        <v>45</v>
      </c>
      <c r="B58" s="9">
        <v>10.0</v>
      </c>
      <c r="C58" s="9">
        <v>23.0</v>
      </c>
      <c r="D58" s="9">
        <v>11.0</v>
      </c>
      <c r="E58" s="9">
        <v>16.0</v>
      </c>
      <c r="F58" s="9">
        <v>19.0</v>
      </c>
      <c r="G58" s="9">
        <v>19.0</v>
      </c>
      <c r="H58" s="9">
        <v>18.0</v>
      </c>
      <c r="I58" s="9">
        <v>24.0</v>
      </c>
      <c r="J58" s="9">
        <v>21.0</v>
      </c>
      <c r="K58" s="9">
        <v>12.0</v>
      </c>
      <c r="L58" s="9">
        <v>11.0</v>
      </c>
      <c r="M58" s="11"/>
      <c r="N58" s="11"/>
      <c r="O58" s="11"/>
      <c r="P58" s="11"/>
      <c r="Q58" s="11"/>
      <c r="R58" s="11"/>
      <c r="S58" s="11"/>
      <c r="T58" s="11"/>
      <c r="U58" s="11"/>
      <c r="V58" s="34">
        <v>5.0</v>
      </c>
      <c r="W58" s="34">
        <v>8.0</v>
      </c>
      <c r="X58" s="10"/>
    </row>
    <row r="59" ht="15.75" customHeight="1">
      <c r="A59" s="25" t="s">
        <v>46</v>
      </c>
      <c r="B59" s="9">
        <v>21.0</v>
      </c>
      <c r="C59" s="9">
        <v>142.0</v>
      </c>
      <c r="D59" s="9">
        <v>53.0</v>
      </c>
      <c r="E59" s="9">
        <v>77.0</v>
      </c>
      <c r="F59" s="9">
        <v>132.0</v>
      </c>
      <c r="G59" s="9">
        <v>133.0</v>
      </c>
      <c r="H59" s="9">
        <v>113.0</v>
      </c>
      <c r="I59" s="9">
        <v>193.0</v>
      </c>
      <c r="J59" s="9">
        <v>171.0</v>
      </c>
      <c r="K59" s="9">
        <v>86.0</v>
      </c>
      <c r="L59" s="9">
        <v>72.0</v>
      </c>
      <c r="M59" s="11"/>
      <c r="N59" s="11"/>
      <c r="O59" s="11"/>
      <c r="P59" s="11"/>
      <c r="Q59" s="11"/>
      <c r="R59" s="11"/>
      <c r="S59" s="11"/>
      <c r="T59" s="11"/>
      <c r="U59" s="11"/>
      <c r="V59" s="34">
        <v>74.0</v>
      </c>
      <c r="W59" s="34">
        <v>65.0</v>
      </c>
      <c r="X59" s="10"/>
    </row>
    <row r="60" ht="15.75" customHeight="1">
      <c r="A60" s="25" t="s">
        <v>47</v>
      </c>
      <c r="B60" s="9">
        <v>16.0</v>
      </c>
      <c r="C60" s="9">
        <v>111.0</v>
      </c>
      <c r="D60" s="9">
        <v>42.0</v>
      </c>
      <c r="E60" s="9">
        <v>57.0</v>
      </c>
      <c r="F60" s="9">
        <v>107.0</v>
      </c>
      <c r="G60" s="9">
        <v>108.0</v>
      </c>
      <c r="H60" s="9">
        <v>94.0</v>
      </c>
      <c r="I60" s="9">
        <v>155.0</v>
      </c>
      <c r="J60" s="9">
        <v>151.0</v>
      </c>
      <c r="K60" s="9">
        <v>67.0</v>
      </c>
      <c r="L60" s="9">
        <v>57.0</v>
      </c>
      <c r="M60" s="11"/>
      <c r="N60" s="11"/>
      <c r="O60" s="11"/>
      <c r="P60" s="11"/>
      <c r="Q60" s="11"/>
      <c r="R60" s="11"/>
      <c r="S60" s="11"/>
      <c r="T60" s="11"/>
      <c r="U60" s="11"/>
      <c r="V60" s="34">
        <v>16.0</v>
      </c>
      <c r="W60" s="34">
        <v>18.0</v>
      </c>
      <c r="X60" s="10"/>
    </row>
    <row r="61" ht="15.75" customHeight="1">
      <c r="A61" s="25" t="s">
        <v>49</v>
      </c>
      <c r="B61" s="16">
        <v>0.761904761904762</v>
      </c>
      <c r="C61" s="16">
        <v>0.78169014084507</v>
      </c>
      <c r="D61" s="16">
        <v>0.792452830188679</v>
      </c>
      <c r="E61" s="16">
        <v>0.74025974025974</v>
      </c>
      <c r="F61" s="16">
        <v>0.810606060606061</v>
      </c>
      <c r="G61" s="16">
        <v>0.81203007518797</v>
      </c>
      <c r="H61" s="16">
        <v>0.831858407079646</v>
      </c>
      <c r="I61" s="16">
        <v>0.803108808290155</v>
      </c>
      <c r="J61" s="16">
        <v>0.883040935672515</v>
      </c>
      <c r="K61" s="16">
        <v>0.779069767441861</v>
      </c>
      <c r="L61" s="16">
        <v>0.791666666666667</v>
      </c>
      <c r="M61" s="11"/>
      <c r="N61" s="11"/>
      <c r="O61" s="11"/>
      <c r="P61" s="11"/>
      <c r="Q61" s="11"/>
      <c r="R61" s="11"/>
      <c r="S61" s="11"/>
      <c r="T61" s="11"/>
      <c r="U61" s="11"/>
      <c r="V61" s="37">
        <v>0.216</v>
      </c>
      <c r="W61" s="37">
        <v>0.277</v>
      </c>
      <c r="X61" s="10"/>
    </row>
    <row r="62" ht="15.75" customHeight="1">
      <c r="A62" s="30" t="s">
        <v>48</v>
      </c>
      <c r="B62" s="13">
        <v>8.0</v>
      </c>
      <c r="C62" s="13">
        <v>16.0</v>
      </c>
      <c r="D62" s="13">
        <v>4.0</v>
      </c>
      <c r="E62" s="13">
        <v>8.0</v>
      </c>
      <c r="F62" s="13">
        <v>10.0</v>
      </c>
      <c r="G62" s="13">
        <v>14.0</v>
      </c>
      <c r="H62" s="13">
        <v>14.0</v>
      </c>
      <c r="I62" s="13">
        <v>22.0</v>
      </c>
      <c r="J62" s="13">
        <v>17.0</v>
      </c>
      <c r="K62" s="13">
        <v>9.0</v>
      </c>
      <c r="L62" s="13">
        <v>5.0</v>
      </c>
      <c r="M62" s="11"/>
      <c r="N62" s="11"/>
      <c r="O62" s="11"/>
      <c r="P62" s="11"/>
      <c r="Q62" s="11"/>
      <c r="R62" s="11"/>
      <c r="S62" s="11"/>
      <c r="T62" s="11"/>
      <c r="U62" s="11"/>
      <c r="V62" s="34">
        <v>2.0</v>
      </c>
      <c r="W62" s="34">
        <v>2.0</v>
      </c>
      <c r="X62" s="14"/>
    </row>
    <row r="63" ht="15.75" customHeight="1">
      <c r="A63" s="15" t="s">
        <v>50</v>
      </c>
      <c r="B63" s="36">
        <v>2.5</v>
      </c>
      <c r="C63" s="36">
        <v>3.048</v>
      </c>
      <c r="D63" s="36">
        <v>4.293</v>
      </c>
      <c r="E63" s="36">
        <v>3.965</v>
      </c>
      <c r="F63" s="36">
        <v>3.85</v>
      </c>
      <c r="G63" s="36">
        <v>3.6</v>
      </c>
      <c r="H63" s="36">
        <v>3.955</v>
      </c>
      <c r="I63" s="36">
        <v>2.473</v>
      </c>
      <c r="J63" s="36">
        <v>3.104</v>
      </c>
      <c r="K63" s="36">
        <v>3.587</v>
      </c>
      <c r="L63" s="36">
        <v>4.608</v>
      </c>
      <c r="M63" s="11"/>
      <c r="N63" s="11"/>
      <c r="O63" s="11"/>
      <c r="P63" s="11"/>
      <c r="Q63" s="11"/>
      <c r="R63" s="11"/>
      <c r="S63" s="11"/>
      <c r="T63" s="11"/>
      <c r="U63" s="11"/>
      <c r="V63" s="34">
        <v>7.06</v>
      </c>
      <c r="W63" s="34">
        <v>6.02</v>
      </c>
      <c r="X63" s="10"/>
    </row>
    <row r="64" ht="15.75" customHeight="1">
      <c r="A64" s="25" t="s">
        <v>51</v>
      </c>
      <c r="B64" s="9" t="s">
        <v>52</v>
      </c>
      <c r="C64" s="9" t="s">
        <v>59</v>
      </c>
      <c r="D64" s="9" t="s">
        <v>52</v>
      </c>
      <c r="E64" s="9" t="s">
        <v>52</v>
      </c>
      <c r="F64" s="9" t="s">
        <v>59</v>
      </c>
      <c r="G64" s="9" t="s">
        <v>59</v>
      </c>
      <c r="H64" s="9" t="s">
        <v>52</v>
      </c>
      <c r="I64" s="9" t="s">
        <v>59</v>
      </c>
      <c r="J64" s="9" t="s">
        <v>59</v>
      </c>
      <c r="K64" s="9" t="s">
        <v>52</v>
      </c>
      <c r="L64" s="9" t="s">
        <v>52</v>
      </c>
      <c r="M64" s="11"/>
      <c r="N64" s="11"/>
      <c r="O64" s="11"/>
      <c r="P64" s="11"/>
      <c r="Q64" s="11"/>
      <c r="R64" s="11"/>
      <c r="S64" s="11"/>
      <c r="T64" s="11"/>
      <c r="U64" s="11"/>
      <c r="V64" s="34" t="s">
        <v>54</v>
      </c>
      <c r="W64" s="34" t="s">
        <v>52</v>
      </c>
      <c r="X64" s="10"/>
    </row>
    <row r="65" ht="15.75" customHeight="1"/>
    <row r="66" ht="27.75" customHeight="1">
      <c r="A66" s="22" t="s">
        <v>90</v>
      </c>
    </row>
    <row r="67" ht="15.75" customHeight="1">
      <c r="A67" s="23" t="s">
        <v>1</v>
      </c>
      <c r="B67" s="7" t="s">
        <v>62</v>
      </c>
      <c r="C67" s="5" t="s">
        <v>63</v>
      </c>
      <c r="D67" s="5" t="s">
        <v>4</v>
      </c>
      <c r="E67" s="5" t="s">
        <v>4</v>
      </c>
      <c r="F67" s="5" t="s">
        <v>14</v>
      </c>
      <c r="G67" s="5" t="s">
        <v>15</v>
      </c>
      <c r="H67" s="5" t="s">
        <v>13</v>
      </c>
      <c r="I67" s="7" t="s">
        <v>19</v>
      </c>
      <c r="J67" s="7" t="s">
        <v>19</v>
      </c>
      <c r="K67" s="7" t="s">
        <v>78</v>
      </c>
      <c r="L67" s="7" t="s">
        <v>10</v>
      </c>
      <c r="M67" s="7" t="s">
        <v>11</v>
      </c>
      <c r="N67" s="7" t="s">
        <v>12</v>
      </c>
      <c r="O67" s="7" t="s">
        <v>13</v>
      </c>
      <c r="P67" s="7" t="s">
        <v>14</v>
      </c>
      <c r="Q67" s="7" t="s">
        <v>14</v>
      </c>
      <c r="R67" s="7" t="s">
        <v>15</v>
      </c>
      <c r="S67" s="7" t="s">
        <v>16</v>
      </c>
      <c r="T67" s="7" t="s">
        <v>17</v>
      </c>
      <c r="U67" s="7" t="s">
        <v>17</v>
      </c>
      <c r="V67" s="7" t="s">
        <v>18</v>
      </c>
      <c r="W67" s="7" t="s">
        <v>18</v>
      </c>
      <c r="X67" s="5" t="s">
        <v>19</v>
      </c>
    </row>
    <row r="68" ht="15.75" customHeight="1">
      <c r="A68" s="23" t="s">
        <v>91</v>
      </c>
      <c r="B68" s="7" t="s">
        <v>84</v>
      </c>
      <c r="C68" s="5" t="s">
        <v>85</v>
      </c>
      <c r="D68" s="5" t="s">
        <v>23</v>
      </c>
      <c r="E68" s="5" t="s">
        <v>86</v>
      </c>
      <c r="F68" s="5" t="s">
        <v>40</v>
      </c>
      <c r="G68" s="5" t="s">
        <v>87</v>
      </c>
      <c r="H68" s="5" t="s">
        <v>27</v>
      </c>
      <c r="I68" s="7" t="s">
        <v>28</v>
      </c>
      <c r="J68" s="7" t="s">
        <v>88</v>
      </c>
      <c r="K68" s="7" t="s">
        <v>89</v>
      </c>
      <c r="L68" s="7" t="s">
        <v>31</v>
      </c>
      <c r="M68" s="7" t="s">
        <v>32</v>
      </c>
      <c r="N68" s="7" t="s">
        <v>33</v>
      </c>
      <c r="O68" s="7" t="s">
        <v>34</v>
      </c>
      <c r="P68" s="7" t="s">
        <v>35</v>
      </c>
      <c r="Q68" s="7" t="s">
        <v>36</v>
      </c>
      <c r="R68" s="7" t="s">
        <v>37</v>
      </c>
      <c r="S68" s="7" t="s">
        <v>38</v>
      </c>
      <c r="T68" s="7" t="s">
        <v>39</v>
      </c>
      <c r="U68" s="7" t="s">
        <v>40</v>
      </c>
      <c r="V68" s="7" t="s">
        <v>41</v>
      </c>
      <c r="W68" s="7" t="s">
        <v>42</v>
      </c>
      <c r="X68" s="5" t="s">
        <v>43</v>
      </c>
    </row>
    <row r="69" ht="15.75" customHeight="1">
      <c r="A69" s="25" t="s">
        <v>44</v>
      </c>
      <c r="B69" s="9">
        <v>25.0</v>
      </c>
      <c r="C69" s="10"/>
      <c r="D69" s="10"/>
      <c r="E69" s="10"/>
      <c r="F69" s="10"/>
      <c r="G69" s="10"/>
      <c r="H69" s="10"/>
      <c r="I69" s="9">
        <v>35.0</v>
      </c>
      <c r="J69" s="9">
        <v>31.0</v>
      </c>
      <c r="K69" s="9">
        <v>31.0</v>
      </c>
      <c r="L69" s="9">
        <v>27.0</v>
      </c>
      <c r="M69" s="9">
        <v>40.0</v>
      </c>
      <c r="N69" s="9">
        <v>36.0</v>
      </c>
      <c r="O69" s="9">
        <v>33.0</v>
      </c>
      <c r="P69" s="9">
        <v>31.0</v>
      </c>
      <c r="Q69" s="9">
        <v>25.0</v>
      </c>
      <c r="R69" s="9">
        <v>45.0</v>
      </c>
      <c r="S69" s="9">
        <v>43.0</v>
      </c>
      <c r="T69" s="9">
        <v>33.0</v>
      </c>
      <c r="U69" s="9">
        <v>25.0</v>
      </c>
      <c r="V69" s="9">
        <v>27.0</v>
      </c>
      <c r="W69" s="9">
        <v>21.0</v>
      </c>
      <c r="X69" s="10"/>
    </row>
    <row r="70" ht="15.75" customHeight="1">
      <c r="A70" s="25" t="s">
        <v>45</v>
      </c>
      <c r="B70" s="9">
        <v>13.0</v>
      </c>
      <c r="C70" s="10"/>
      <c r="D70" s="10"/>
      <c r="E70" s="10"/>
      <c r="F70" s="10"/>
      <c r="G70" s="10"/>
      <c r="H70" s="10"/>
      <c r="I70" s="9">
        <v>24.0</v>
      </c>
      <c r="J70" s="9">
        <v>17.0</v>
      </c>
      <c r="K70" s="9">
        <v>18.0</v>
      </c>
      <c r="L70" s="9">
        <v>16.0</v>
      </c>
      <c r="M70" s="9">
        <v>31.0</v>
      </c>
      <c r="N70" s="9">
        <v>25.0</v>
      </c>
      <c r="O70" s="9">
        <v>25.0</v>
      </c>
      <c r="P70" s="9">
        <v>23.0</v>
      </c>
      <c r="Q70" s="9">
        <v>17.0</v>
      </c>
      <c r="R70" s="9">
        <v>31.0</v>
      </c>
      <c r="S70" s="9">
        <v>32.0</v>
      </c>
      <c r="T70" s="9">
        <v>27.0</v>
      </c>
      <c r="U70" s="9">
        <v>16.0</v>
      </c>
      <c r="V70" s="9">
        <v>3.0</v>
      </c>
      <c r="W70" s="9">
        <v>6.0</v>
      </c>
      <c r="X70" s="10"/>
    </row>
    <row r="71" ht="15.75" customHeight="1">
      <c r="A71" s="25" t="s">
        <v>46</v>
      </c>
      <c r="B71" s="9">
        <v>148.0</v>
      </c>
      <c r="C71" s="10"/>
      <c r="D71" s="10"/>
      <c r="E71" s="10"/>
      <c r="F71" s="10"/>
      <c r="G71" s="10"/>
      <c r="H71" s="10"/>
      <c r="I71" s="9">
        <v>237.0</v>
      </c>
      <c r="J71" s="9">
        <v>218.0</v>
      </c>
      <c r="K71" s="9">
        <v>129.0</v>
      </c>
      <c r="L71" s="9">
        <v>148.0</v>
      </c>
      <c r="M71" s="9">
        <v>171.0</v>
      </c>
      <c r="N71" s="9">
        <v>121.0</v>
      </c>
      <c r="O71" s="9">
        <v>181.0</v>
      </c>
      <c r="P71" s="9">
        <v>137.0</v>
      </c>
      <c r="Q71" s="9">
        <v>72.0</v>
      </c>
      <c r="R71" s="9">
        <v>200.0</v>
      </c>
      <c r="S71" s="9">
        <v>226.0</v>
      </c>
      <c r="T71" s="9">
        <v>208.0</v>
      </c>
      <c r="U71" s="9">
        <v>130.0</v>
      </c>
      <c r="V71" s="9">
        <v>64.0</v>
      </c>
      <c r="W71" s="9">
        <v>50.0</v>
      </c>
      <c r="X71" s="10"/>
    </row>
    <row r="72" ht="15.75" customHeight="1">
      <c r="A72" s="25" t="s">
        <v>47</v>
      </c>
      <c r="B72" s="9">
        <v>102.0</v>
      </c>
      <c r="C72" s="10"/>
      <c r="D72" s="10"/>
      <c r="E72" s="10"/>
      <c r="F72" s="10"/>
      <c r="G72" s="10"/>
      <c r="H72" s="10"/>
      <c r="I72" s="9">
        <v>182.0</v>
      </c>
      <c r="J72" s="9">
        <v>172.0</v>
      </c>
      <c r="K72" s="9">
        <v>75.0</v>
      </c>
      <c r="L72" s="9">
        <v>122.0</v>
      </c>
      <c r="M72" s="9">
        <v>139.0</v>
      </c>
      <c r="N72" s="9">
        <v>88.0</v>
      </c>
      <c r="O72" s="9">
        <v>130.0</v>
      </c>
      <c r="P72" s="9">
        <v>95.0</v>
      </c>
      <c r="Q72" s="9">
        <v>57.0</v>
      </c>
      <c r="R72" s="9">
        <v>157.0</v>
      </c>
      <c r="S72" s="9">
        <v>196.0</v>
      </c>
      <c r="T72" s="9">
        <v>192.0</v>
      </c>
      <c r="U72" s="9">
        <v>84.0</v>
      </c>
      <c r="V72" s="9">
        <v>10.0</v>
      </c>
      <c r="W72" s="9">
        <v>11.0</v>
      </c>
      <c r="X72" s="10"/>
    </row>
    <row r="73" ht="15.75" customHeight="1">
      <c r="A73" s="25" t="s">
        <v>49</v>
      </c>
      <c r="B73" s="16">
        <v>0.689</v>
      </c>
      <c r="C73" s="14"/>
      <c r="D73" s="14"/>
      <c r="E73" s="14"/>
      <c r="F73" s="14"/>
      <c r="G73" s="14"/>
      <c r="H73" s="14"/>
      <c r="I73" s="16">
        <v>0.768</v>
      </c>
      <c r="J73" s="16">
        <v>0.789</v>
      </c>
      <c r="K73" s="16">
        <v>0.581</v>
      </c>
      <c r="L73" s="16">
        <v>0.824</v>
      </c>
      <c r="M73" s="16">
        <v>0.813</v>
      </c>
      <c r="N73" s="16">
        <v>0.727</v>
      </c>
      <c r="O73" s="16">
        <v>0.718</v>
      </c>
      <c r="P73" s="16">
        <v>0.693</v>
      </c>
      <c r="Q73" s="16">
        <v>0.792</v>
      </c>
      <c r="R73" s="16">
        <v>0.785</v>
      </c>
      <c r="S73" s="16">
        <v>0.867</v>
      </c>
      <c r="T73" s="16">
        <v>0.923</v>
      </c>
      <c r="U73" s="16">
        <v>0.646</v>
      </c>
      <c r="V73" s="16">
        <v>0.156</v>
      </c>
      <c r="W73" s="16">
        <v>0.22</v>
      </c>
      <c r="X73" s="10"/>
    </row>
    <row r="74" ht="15.75" customHeight="1">
      <c r="A74" s="38" t="s">
        <v>48</v>
      </c>
      <c r="B74" s="9">
        <v>10.0</v>
      </c>
      <c r="C74" s="17"/>
      <c r="D74" s="17"/>
      <c r="E74" s="17"/>
      <c r="F74" s="17"/>
      <c r="G74" s="17"/>
      <c r="H74" s="17"/>
      <c r="I74" s="9">
        <v>20.0</v>
      </c>
      <c r="J74" s="9">
        <v>14.0</v>
      </c>
      <c r="K74" s="9">
        <v>15.0</v>
      </c>
      <c r="L74" s="9">
        <v>8.0</v>
      </c>
      <c r="M74" s="9">
        <v>20.0</v>
      </c>
      <c r="N74" s="9">
        <v>20.0</v>
      </c>
      <c r="O74" s="9">
        <v>18.0</v>
      </c>
      <c r="P74" s="9">
        <v>16.0</v>
      </c>
      <c r="Q74" s="9">
        <v>9.0</v>
      </c>
      <c r="R74" s="9">
        <v>24.0</v>
      </c>
      <c r="S74" s="9">
        <v>24.0</v>
      </c>
      <c r="T74" s="9">
        <v>23.0</v>
      </c>
      <c r="U74" s="9">
        <v>8.0</v>
      </c>
      <c r="V74" s="9">
        <v>1.0</v>
      </c>
      <c r="W74" s="9">
        <v>2.0</v>
      </c>
      <c r="X74" s="14"/>
    </row>
    <row r="75" ht="15.75" customHeight="1">
      <c r="A75" s="25" t="s">
        <v>92</v>
      </c>
      <c r="B75" s="36">
        <v>3.239</v>
      </c>
      <c r="C75" s="19"/>
      <c r="D75" s="19"/>
      <c r="E75" s="19"/>
      <c r="F75" s="19"/>
      <c r="G75" s="19"/>
      <c r="H75" s="19"/>
      <c r="I75" s="9">
        <v>3.26</v>
      </c>
      <c r="J75" s="9">
        <v>3.16</v>
      </c>
      <c r="K75" s="36">
        <v>4.049</v>
      </c>
      <c r="L75" s="9">
        <v>4.08</v>
      </c>
      <c r="M75" s="36">
        <v>3.067</v>
      </c>
      <c r="N75" s="36">
        <v>2.792</v>
      </c>
      <c r="O75" s="9">
        <v>4.95</v>
      </c>
      <c r="P75" s="9">
        <v>3.328</v>
      </c>
      <c r="Q75" s="9">
        <v>2.92</v>
      </c>
      <c r="R75" s="9">
        <v>2.1</v>
      </c>
      <c r="S75" s="9">
        <v>2.33</v>
      </c>
      <c r="T75" s="9">
        <v>1.5</v>
      </c>
      <c r="U75" s="9">
        <v>4.24</v>
      </c>
      <c r="V75" s="9">
        <v>6.68</v>
      </c>
      <c r="W75" s="9">
        <v>5.91</v>
      </c>
      <c r="X75" s="10"/>
    </row>
    <row r="76" ht="15.75" customHeight="1">
      <c r="A76" s="25" t="s">
        <v>51</v>
      </c>
      <c r="B76" s="9" t="s">
        <v>52</v>
      </c>
      <c r="C76" s="19"/>
      <c r="D76" s="11"/>
      <c r="E76" s="11"/>
      <c r="F76" s="11"/>
      <c r="G76" s="11"/>
      <c r="H76" s="11"/>
      <c r="I76" s="9" t="s">
        <v>59</v>
      </c>
      <c r="J76" s="9" t="s">
        <v>52</v>
      </c>
      <c r="K76" s="9" t="s">
        <v>52</v>
      </c>
      <c r="L76" s="9" t="s">
        <v>52</v>
      </c>
      <c r="M76" s="9" t="s">
        <v>74</v>
      </c>
      <c r="N76" s="9" t="s">
        <v>59</v>
      </c>
      <c r="O76" s="9" t="s">
        <v>59</v>
      </c>
      <c r="P76" s="9" t="s">
        <v>59</v>
      </c>
      <c r="Q76" s="9" t="s">
        <v>52</v>
      </c>
      <c r="R76" s="9" t="s">
        <v>74</v>
      </c>
      <c r="S76" s="9" t="s">
        <v>74</v>
      </c>
      <c r="T76" s="9" t="s">
        <v>59</v>
      </c>
      <c r="U76" s="9" t="s">
        <v>52</v>
      </c>
      <c r="V76" s="9" t="s">
        <v>54</v>
      </c>
      <c r="W76" s="9" t="s">
        <v>54</v>
      </c>
      <c r="X76" s="10"/>
    </row>
    <row r="77" ht="15.75" customHeight="1"/>
    <row r="78" ht="15.75" customHeight="1"/>
    <row r="79" ht="15.75" customHeight="1">
      <c r="A79" s="22" t="s">
        <v>93</v>
      </c>
    </row>
    <row r="80" ht="15.75" customHeight="1">
      <c r="A80" s="23" t="s">
        <v>1</v>
      </c>
      <c r="B80" s="7" t="s">
        <v>62</v>
      </c>
      <c r="C80" s="7" t="s">
        <v>63</v>
      </c>
      <c r="D80" s="5" t="s">
        <v>4</v>
      </c>
      <c r="E80" s="5" t="s">
        <v>4</v>
      </c>
      <c r="F80" s="7" t="s">
        <v>14</v>
      </c>
      <c r="G80" s="7" t="s">
        <v>15</v>
      </c>
      <c r="H80" s="5" t="s">
        <v>13</v>
      </c>
      <c r="I80" s="5" t="s">
        <v>19</v>
      </c>
      <c r="J80" s="5" t="s">
        <v>19</v>
      </c>
      <c r="K80" s="5" t="s">
        <v>78</v>
      </c>
      <c r="L80" s="5" t="s">
        <v>10</v>
      </c>
      <c r="M80" s="5" t="s">
        <v>11</v>
      </c>
      <c r="N80" s="5" t="s">
        <v>12</v>
      </c>
      <c r="O80" s="7" t="s">
        <v>13</v>
      </c>
      <c r="P80" s="7" t="s">
        <v>14</v>
      </c>
      <c r="Q80" s="5" t="s">
        <v>14</v>
      </c>
      <c r="R80" s="5" t="s">
        <v>15</v>
      </c>
      <c r="S80" s="5" t="s">
        <v>16</v>
      </c>
      <c r="T80" s="5" t="s">
        <v>17</v>
      </c>
      <c r="U80" s="5" t="s">
        <v>17</v>
      </c>
      <c r="V80" s="7" t="s">
        <v>18</v>
      </c>
      <c r="W80" s="7" t="s">
        <v>18</v>
      </c>
      <c r="X80" s="5" t="s">
        <v>19</v>
      </c>
    </row>
    <row r="81" ht="15.75" customHeight="1">
      <c r="A81" s="23" t="s">
        <v>91</v>
      </c>
      <c r="B81" s="7" t="s">
        <v>84</v>
      </c>
      <c r="C81" s="7" t="s">
        <v>85</v>
      </c>
      <c r="D81" s="5" t="s">
        <v>23</v>
      </c>
      <c r="E81" s="5" t="s">
        <v>86</v>
      </c>
      <c r="F81" s="7" t="s">
        <v>40</v>
      </c>
      <c r="G81" s="7" t="s">
        <v>87</v>
      </c>
      <c r="H81" s="5" t="s">
        <v>27</v>
      </c>
      <c r="I81" s="5" t="s">
        <v>28</v>
      </c>
      <c r="J81" s="5" t="s">
        <v>88</v>
      </c>
      <c r="K81" s="5" t="s">
        <v>89</v>
      </c>
      <c r="L81" s="5" t="s">
        <v>31</v>
      </c>
      <c r="M81" s="5" t="s">
        <v>32</v>
      </c>
      <c r="N81" s="5" t="s">
        <v>33</v>
      </c>
      <c r="O81" s="7" t="s">
        <v>34</v>
      </c>
      <c r="P81" s="7" t="s">
        <v>35</v>
      </c>
      <c r="Q81" s="5" t="s">
        <v>36</v>
      </c>
      <c r="R81" s="5" t="s">
        <v>37</v>
      </c>
      <c r="S81" s="5" t="s">
        <v>38</v>
      </c>
      <c r="T81" s="5" t="s">
        <v>39</v>
      </c>
      <c r="U81" s="5" t="s">
        <v>40</v>
      </c>
      <c r="V81" s="7" t="s">
        <v>41</v>
      </c>
      <c r="W81" s="7" t="s">
        <v>42</v>
      </c>
      <c r="X81" s="5" t="s">
        <v>43</v>
      </c>
      <c r="Y81" s="39"/>
    </row>
    <row r="82" ht="15.75" customHeight="1">
      <c r="A82" s="25" t="s">
        <v>44</v>
      </c>
      <c r="B82" s="9">
        <v>34.0</v>
      </c>
      <c r="C82" s="9">
        <v>22.0</v>
      </c>
      <c r="D82" s="10"/>
      <c r="E82" s="10"/>
      <c r="F82" s="9">
        <v>25.0</v>
      </c>
      <c r="G82" s="9">
        <v>22.0</v>
      </c>
      <c r="H82" s="10"/>
      <c r="I82" s="10"/>
      <c r="J82" s="10"/>
      <c r="K82" s="10"/>
      <c r="L82" s="10"/>
      <c r="M82" s="10"/>
      <c r="N82" s="10"/>
      <c r="O82" s="9">
        <v>18.0</v>
      </c>
      <c r="P82" s="9">
        <v>28.0</v>
      </c>
      <c r="Q82" s="10"/>
      <c r="R82" s="10"/>
      <c r="S82" s="10"/>
      <c r="T82" s="10"/>
      <c r="U82" s="10"/>
      <c r="V82" s="9">
        <v>31.0</v>
      </c>
      <c r="W82" s="9">
        <v>26.0</v>
      </c>
      <c r="X82" s="10"/>
    </row>
    <row r="83" ht="15.75" customHeight="1">
      <c r="A83" s="25" t="s">
        <v>45</v>
      </c>
      <c r="B83" s="9">
        <v>15.0</v>
      </c>
      <c r="C83" s="9">
        <v>15.0</v>
      </c>
      <c r="D83" s="10"/>
      <c r="E83" s="10"/>
      <c r="F83" s="9">
        <v>14.0</v>
      </c>
      <c r="G83" s="9">
        <v>14.0</v>
      </c>
      <c r="H83" s="10"/>
      <c r="I83" s="10"/>
      <c r="J83" s="10"/>
      <c r="K83" s="10"/>
      <c r="L83" s="10"/>
      <c r="M83" s="10"/>
      <c r="N83" s="10"/>
      <c r="O83" s="9">
        <v>13.0</v>
      </c>
      <c r="P83" s="9">
        <v>20.0</v>
      </c>
      <c r="Q83" s="10"/>
      <c r="R83" s="10"/>
      <c r="S83" s="10"/>
      <c r="T83" s="10"/>
      <c r="U83" s="10"/>
      <c r="V83" s="9">
        <v>6.0</v>
      </c>
      <c r="W83" s="9">
        <v>12.0</v>
      </c>
      <c r="X83" s="10"/>
    </row>
    <row r="84" ht="15.75" customHeight="1">
      <c r="A84" s="25" t="s">
        <v>46</v>
      </c>
      <c r="B84" s="9">
        <v>120.0</v>
      </c>
      <c r="C84" s="9">
        <v>96.0</v>
      </c>
      <c r="D84" s="10"/>
      <c r="E84" s="10"/>
      <c r="F84" s="9">
        <v>97.0</v>
      </c>
      <c r="G84" s="9">
        <v>59.0</v>
      </c>
      <c r="H84" s="10"/>
      <c r="I84" s="10"/>
      <c r="J84" s="10"/>
      <c r="K84" s="10"/>
      <c r="L84" s="10"/>
      <c r="M84" s="10"/>
      <c r="N84" s="10"/>
      <c r="O84" s="9">
        <v>88.0</v>
      </c>
      <c r="P84" s="9">
        <v>85.0</v>
      </c>
      <c r="Q84" s="10"/>
      <c r="R84" s="10"/>
      <c r="S84" s="10"/>
      <c r="T84" s="10"/>
      <c r="U84" s="10"/>
      <c r="V84" s="9">
        <v>98.0</v>
      </c>
      <c r="W84" s="9">
        <v>87.0</v>
      </c>
      <c r="X84" s="10"/>
    </row>
    <row r="85" ht="15.75" customHeight="1">
      <c r="A85" s="25" t="s">
        <v>47</v>
      </c>
      <c r="B85" s="9">
        <v>86.0</v>
      </c>
      <c r="C85" s="9">
        <v>65.0</v>
      </c>
      <c r="D85" s="10"/>
      <c r="E85" s="10"/>
      <c r="F85" s="9">
        <v>67.0</v>
      </c>
      <c r="G85" s="9">
        <v>43.0</v>
      </c>
      <c r="H85" s="10"/>
      <c r="I85" s="10"/>
      <c r="J85" s="10"/>
      <c r="K85" s="10"/>
      <c r="L85" s="10"/>
      <c r="M85" s="10"/>
      <c r="N85" s="10"/>
      <c r="O85" s="9">
        <v>70.0</v>
      </c>
      <c r="P85" s="9">
        <v>69.0</v>
      </c>
      <c r="Q85" s="10"/>
      <c r="R85" s="10"/>
      <c r="S85" s="10"/>
      <c r="T85" s="10"/>
      <c r="U85" s="10"/>
      <c r="V85" s="9">
        <v>22.0</v>
      </c>
      <c r="W85" s="9">
        <v>37.0</v>
      </c>
      <c r="X85" s="10"/>
    </row>
    <row r="86" ht="15.75" customHeight="1">
      <c r="A86" s="25" t="s">
        <v>49</v>
      </c>
      <c r="B86" s="16">
        <v>0.717</v>
      </c>
      <c r="C86" s="16">
        <v>0.677</v>
      </c>
      <c r="D86" s="14"/>
      <c r="E86" s="14"/>
      <c r="F86" s="16">
        <v>0.691</v>
      </c>
      <c r="G86" s="16">
        <v>0.729</v>
      </c>
      <c r="H86" s="14"/>
      <c r="I86" s="14"/>
      <c r="J86" s="14"/>
      <c r="K86" s="14"/>
      <c r="L86" s="14"/>
      <c r="M86" s="14"/>
      <c r="N86" s="14"/>
      <c r="O86" s="16">
        <v>0.795</v>
      </c>
      <c r="P86" s="16">
        <v>0.812</v>
      </c>
      <c r="Q86" s="14"/>
      <c r="R86" s="14"/>
      <c r="S86" s="14"/>
      <c r="T86" s="14"/>
      <c r="U86" s="14"/>
      <c r="V86" s="16">
        <f t="shared" ref="V86:W86" si="3">(V85/V84)</f>
        <v>0.2244897959</v>
      </c>
      <c r="W86" s="16">
        <f t="shared" si="3"/>
        <v>0.4252873563</v>
      </c>
      <c r="X86" s="10"/>
    </row>
    <row r="87" ht="15.75" customHeight="1">
      <c r="A87" s="38" t="s">
        <v>48</v>
      </c>
      <c r="B87" s="9">
        <v>11.0</v>
      </c>
      <c r="C87" s="9">
        <v>10.0</v>
      </c>
      <c r="D87" s="17"/>
      <c r="E87" s="17"/>
      <c r="F87" s="9">
        <v>6.0</v>
      </c>
      <c r="G87" s="9">
        <v>8.0</v>
      </c>
      <c r="H87" s="17"/>
      <c r="I87" s="10"/>
      <c r="J87" s="10"/>
      <c r="K87" s="10"/>
      <c r="L87" s="10"/>
      <c r="M87" s="10"/>
      <c r="N87" s="10"/>
      <c r="O87" s="9">
        <v>6.0</v>
      </c>
      <c r="P87" s="9">
        <v>11.0</v>
      </c>
      <c r="Q87" s="10"/>
      <c r="R87" s="10"/>
      <c r="S87" s="10"/>
      <c r="T87" s="10"/>
      <c r="U87" s="10"/>
      <c r="V87" s="9">
        <v>0.0</v>
      </c>
      <c r="W87" s="9">
        <v>5.0</v>
      </c>
      <c r="X87" s="14"/>
    </row>
    <row r="88" ht="15.75" customHeight="1">
      <c r="A88" s="25" t="s">
        <v>92</v>
      </c>
      <c r="B88" s="9">
        <v>3.33</v>
      </c>
      <c r="C88" s="9">
        <v>2.67</v>
      </c>
      <c r="D88" s="19"/>
      <c r="E88" s="19"/>
      <c r="F88" s="36">
        <v>4.4</v>
      </c>
      <c r="G88" s="9">
        <v>3.16</v>
      </c>
      <c r="H88" s="19"/>
      <c r="I88" s="10"/>
      <c r="J88" s="10"/>
      <c r="K88" s="10"/>
      <c r="L88" s="19"/>
      <c r="M88" s="10"/>
      <c r="N88" s="10"/>
      <c r="O88" s="9">
        <v>4.69</v>
      </c>
      <c r="P88" s="9">
        <v>3.42</v>
      </c>
      <c r="Q88" s="10"/>
      <c r="R88" s="10"/>
      <c r="S88" s="10"/>
      <c r="T88" s="10"/>
      <c r="U88" s="10"/>
      <c r="V88" s="9">
        <v>7.99</v>
      </c>
      <c r="W88" s="36">
        <v>7.1</v>
      </c>
      <c r="X88" s="10"/>
    </row>
    <row r="89" ht="15.75" customHeight="1">
      <c r="A89" s="25" t="s">
        <v>51</v>
      </c>
      <c r="B89" s="9" t="s">
        <v>53</v>
      </c>
      <c r="C89" s="9" t="s">
        <v>53</v>
      </c>
      <c r="D89" s="11"/>
      <c r="E89" s="11"/>
      <c r="F89" s="9" t="s">
        <v>52</v>
      </c>
      <c r="G89" s="9" t="s">
        <v>52</v>
      </c>
      <c r="H89" s="11"/>
      <c r="I89" s="10"/>
      <c r="J89" s="10"/>
      <c r="K89" s="10"/>
      <c r="L89" s="10"/>
      <c r="M89" s="10"/>
      <c r="N89" s="10"/>
      <c r="O89" s="9" t="s">
        <v>52</v>
      </c>
      <c r="P89" s="9" t="s">
        <v>74</v>
      </c>
      <c r="Q89" s="10"/>
      <c r="R89" s="10"/>
      <c r="S89" s="10"/>
      <c r="T89" s="10"/>
      <c r="U89" s="10"/>
      <c r="V89" s="9" t="s">
        <v>54</v>
      </c>
      <c r="W89" s="9" t="s">
        <v>54</v>
      </c>
      <c r="X89" s="10"/>
    </row>
    <row r="90" ht="15.75" customHeight="1"/>
    <row r="91" ht="15.75" customHeight="1"/>
    <row r="92" ht="15.75" customHeight="1">
      <c r="A92" s="22" t="s">
        <v>94</v>
      </c>
    </row>
    <row r="93" ht="15.75" customHeight="1">
      <c r="A93" s="23" t="s">
        <v>1</v>
      </c>
      <c r="B93" s="7" t="s">
        <v>62</v>
      </c>
      <c r="C93" s="7" t="s">
        <v>63</v>
      </c>
      <c r="D93" s="7" t="s">
        <v>4</v>
      </c>
      <c r="E93" s="7" t="s">
        <v>4</v>
      </c>
      <c r="F93" s="7" t="s">
        <v>14</v>
      </c>
      <c r="G93" s="7" t="s">
        <v>15</v>
      </c>
      <c r="H93" s="7" t="s">
        <v>13</v>
      </c>
      <c r="I93" s="5" t="s">
        <v>19</v>
      </c>
      <c r="J93" s="5" t="s">
        <v>19</v>
      </c>
      <c r="K93" s="7" t="s">
        <v>78</v>
      </c>
      <c r="L93" s="7" t="s">
        <v>10</v>
      </c>
      <c r="M93" s="7" t="s">
        <v>11</v>
      </c>
      <c r="N93" s="7" t="s">
        <v>12</v>
      </c>
      <c r="O93" s="7" t="s">
        <v>13</v>
      </c>
      <c r="P93" s="7" t="s">
        <v>14</v>
      </c>
      <c r="Q93" s="5" t="s">
        <v>14</v>
      </c>
      <c r="R93" s="7" t="s">
        <v>15</v>
      </c>
      <c r="S93" s="7" t="s">
        <v>16</v>
      </c>
      <c r="T93" s="5" t="s">
        <v>17</v>
      </c>
      <c r="U93" s="5" t="s">
        <v>17</v>
      </c>
      <c r="V93" s="5" t="s">
        <v>18</v>
      </c>
      <c r="W93" s="5" t="s">
        <v>18</v>
      </c>
      <c r="X93" s="7" t="s">
        <v>19</v>
      </c>
    </row>
    <row r="94" ht="15.75" customHeight="1">
      <c r="A94" s="23" t="s">
        <v>91</v>
      </c>
      <c r="B94" s="7" t="s">
        <v>84</v>
      </c>
      <c r="C94" s="7" t="s">
        <v>85</v>
      </c>
      <c r="D94" s="7" t="s">
        <v>23</v>
      </c>
      <c r="E94" s="7" t="s">
        <v>86</v>
      </c>
      <c r="F94" s="7" t="s">
        <v>40</v>
      </c>
      <c r="G94" s="7" t="s">
        <v>87</v>
      </c>
      <c r="H94" s="7" t="s">
        <v>27</v>
      </c>
      <c r="I94" s="5" t="s">
        <v>28</v>
      </c>
      <c r="J94" s="5" t="s">
        <v>88</v>
      </c>
      <c r="K94" s="7" t="s">
        <v>89</v>
      </c>
      <c r="L94" s="7" t="s">
        <v>31</v>
      </c>
      <c r="M94" s="7" t="s">
        <v>32</v>
      </c>
      <c r="N94" s="7" t="s">
        <v>33</v>
      </c>
      <c r="O94" s="7" t="s">
        <v>34</v>
      </c>
      <c r="P94" s="7" t="s">
        <v>35</v>
      </c>
      <c r="Q94" s="5" t="s">
        <v>36</v>
      </c>
      <c r="R94" s="7" t="s">
        <v>37</v>
      </c>
      <c r="S94" s="7" t="s">
        <v>38</v>
      </c>
      <c r="T94" s="5" t="s">
        <v>39</v>
      </c>
      <c r="U94" s="5" t="s">
        <v>40</v>
      </c>
      <c r="V94" s="5" t="s">
        <v>41</v>
      </c>
      <c r="W94" s="5" t="s">
        <v>42</v>
      </c>
      <c r="X94" s="7" t="s">
        <v>43</v>
      </c>
    </row>
    <row r="95" ht="15.75" customHeight="1">
      <c r="A95" s="25" t="s">
        <v>44</v>
      </c>
      <c r="B95" s="9">
        <v>16.0</v>
      </c>
      <c r="C95" s="9">
        <v>18.0</v>
      </c>
      <c r="D95" s="9">
        <v>17.0</v>
      </c>
      <c r="E95" s="9">
        <v>10.0</v>
      </c>
      <c r="F95" s="9">
        <v>25.0</v>
      </c>
      <c r="G95" s="9">
        <v>20.0</v>
      </c>
      <c r="H95" s="9">
        <v>31.0</v>
      </c>
      <c r="I95" s="10"/>
      <c r="J95" s="10"/>
      <c r="K95" s="9">
        <v>18.0</v>
      </c>
      <c r="L95" s="9">
        <v>18.0</v>
      </c>
      <c r="M95" s="9">
        <v>12.0</v>
      </c>
      <c r="N95" s="9">
        <v>31.0</v>
      </c>
      <c r="O95" s="9">
        <v>17.0</v>
      </c>
      <c r="P95" s="9">
        <v>21.0</v>
      </c>
      <c r="Q95" s="10"/>
      <c r="R95" s="9">
        <v>23.0</v>
      </c>
      <c r="S95" s="9">
        <v>13.0</v>
      </c>
      <c r="T95" s="10"/>
      <c r="U95" s="10"/>
      <c r="V95" s="10"/>
      <c r="W95" s="10"/>
      <c r="X95" s="9">
        <v>21.0</v>
      </c>
    </row>
    <row r="96" ht="15.75" customHeight="1">
      <c r="A96" s="25" t="s">
        <v>45</v>
      </c>
      <c r="B96" s="9">
        <v>13.0</v>
      </c>
      <c r="C96" s="9">
        <v>12.0</v>
      </c>
      <c r="D96" s="9">
        <v>7.0</v>
      </c>
      <c r="E96" s="9">
        <v>5.0</v>
      </c>
      <c r="F96" s="9">
        <v>17.0</v>
      </c>
      <c r="G96" s="9">
        <v>13.0</v>
      </c>
      <c r="H96" s="9">
        <v>22.0</v>
      </c>
      <c r="I96" s="10"/>
      <c r="J96" s="10"/>
      <c r="K96" s="9">
        <v>12.0</v>
      </c>
      <c r="L96" s="9">
        <v>12.0</v>
      </c>
      <c r="M96" s="9">
        <v>6.0</v>
      </c>
      <c r="N96" s="9">
        <v>23.0</v>
      </c>
      <c r="O96" s="9">
        <v>10.0</v>
      </c>
      <c r="P96" s="9">
        <v>15.0</v>
      </c>
      <c r="Q96" s="10"/>
      <c r="R96" s="9">
        <v>19.0</v>
      </c>
      <c r="S96" s="9">
        <v>8.0</v>
      </c>
      <c r="T96" s="10"/>
      <c r="U96" s="10"/>
      <c r="V96" s="10"/>
      <c r="W96" s="10"/>
      <c r="X96" s="9">
        <v>17.0</v>
      </c>
    </row>
    <row r="97" ht="15.75" customHeight="1">
      <c r="A97" s="25" t="s">
        <v>46</v>
      </c>
      <c r="B97" s="9">
        <v>35.0</v>
      </c>
      <c r="C97" s="9">
        <v>109.0</v>
      </c>
      <c r="D97" s="9">
        <v>35.0</v>
      </c>
      <c r="E97" s="9">
        <v>60.0</v>
      </c>
      <c r="F97" s="9">
        <v>101.0</v>
      </c>
      <c r="G97" s="9">
        <v>90.0</v>
      </c>
      <c r="H97" s="9">
        <v>128.0</v>
      </c>
      <c r="I97" s="10"/>
      <c r="J97" s="10"/>
      <c r="K97" s="9">
        <v>54.0</v>
      </c>
      <c r="L97" s="9">
        <v>75.0</v>
      </c>
      <c r="M97" s="9">
        <v>43.0</v>
      </c>
      <c r="N97" s="9">
        <v>93.0</v>
      </c>
      <c r="O97" s="9">
        <v>53.0</v>
      </c>
      <c r="P97" s="9">
        <v>94.0</v>
      </c>
      <c r="Q97" s="10"/>
      <c r="R97" s="9">
        <v>120.0</v>
      </c>
      <c r="S97" s="9">
        <v>62.0</v>
      </c>
      <c r="T97" s="10"/>
      <c r="U97" s="10"/>
      <c r="V97" s="10"/>
      <c r="W97" s="10"/>
      <c r="X97" s="9">
        <v>81.0</v>
      </c>
    </row>
    <row r="98" ht="15.75" customHeight="1">
      <c r="A98" s="25" t="s">
        <v>47</v>
      </c>
      <c r="B98" s="9">
        <v>31.0</v>
      </c>
      <c r="C98" s="9">
        <v>80.0</v>
      </c>
      <c r="D98" s="9">
        <v>12.0</v>
      </c>
      <c r="E98" s="9">
        <v>40.0</v>
      </c>
      <c r="F98" s="9">
        <v>70.0</v>
      </c>
      <c r="G98" s="9">
        <v>70.0</v>
      </c>
      <c r="H98" s="9">
        <v>114.0</v>
      </c>
      <c r="I98" s="10"/>
      <c r="J98" s="10"/>
      <c r="K98" s="9">
        <v>45.0</v>
      </c>
      <c r="L98" s="9">
        <v>65.0</v>
      </c>
      <c r="M98" s="9">
        <v>29.0</v>
      </c>
      <c r="N98" s="9">
        <v>79.0</v>
      </c>
      <c r="O98" s="9">
        <v>37.0</v>
      </c>
      <c r="P98" s="9">
        <v>72.0</v>
      </c>
      <c r="Q98" s="10"/>
      <c r="R98" s="9">
        <v>98.0</v>
      </c>
      <c r="S98" s="9">
        <v>18.0</v>
      </c>
      <c r="T98" s="10"/>
      <c r="U98" s="10"/>
      <c r="V98" s="10"/>
      <c r="W98" s="10"/>
      <c r="X98" s="9">
        <v>66.0</v>
      </c>
    </row>
    <row r="99" ht="15.75" customHeight="1">
      <c r="A99" s="25" t="s">
        <v>49</v>
      </c>
      <c r="B99" s="9">
        <v>8.0</v>
      </c>
      <c r="C99" s="9">
        <v>8.0</v>
      </c>
      <c r="D99" s="9">
        <v>3.0</v>
      </c>
      <c r="E99" s="9">
        <v>3.0</v>
      </c>
      <c r="F99" s="9">
        <v>8.0</v>
      </c>
      <c r="G99" s="9">
        <v>9.0</v>
      </c>
      <c r="H99" s="9">
        <v>13.0</v>
      </c>
      <c r="I99" s="14"/>
      <c r="J99" s="14"/>
      <c r="K99" s="9">
        <v>7.0</v>
      </c>
      <c r="L99" s="9">
        <v>5.0</v>
      </c>
      <c r="M99" s="9">
        <v>4.0</v>
      </c>
      <c r="N99" s="9">
        <v>13.0</v>
      </c>
      <c r="O99" s="9">
        <v>5.0</v>
      </c>
      <c r="P99" s="9">
        <v>13.0</v>
      </c>
      <c r="Q99" s="14"/>
      <c r="R99" s="9">
        <v>15.0</v>
      </c>
      <c r="S99" s="9">
        <v>4.0</v>
      </c>
      <c r="T99" s="14"/>
      <c r="U99" s="14"/>
      <c r="V99" s="14"/>
      <c r="W99" s="14"/>
      <c r="X99" s="9">
        <v>13.0</v>
      </c>
    </row>
    <row r="100" ht="15.75" customHeight="1">
      <c r="A100" s="38" t="s">
        <v>48</v>
      </c>
      <c r="B100" s="16">
        <v>0.886</v>
      </c>
      <c r="C100" s="16">
        <v>0.734</v>
      </c>
      <c r="D100" s="16">
        <v>0.343</v>
      </c>
      <c r="E100" s="16">
        <v>0.667</v>
      </c>
      <c r="F100" s="16">
        <v>0.693</v>
      </c>
      <c r="G100" s="16">
        <v>0.778</v>
      </c>
      <c r="H100" s="16">
        <v>0.891</v>
      </c>
      <c r="I100" s="10"/>
      <c r="J100" s="10"/>
      <c r="K100" s="16">
        <v>0.833</v>
      </c>
      <c r="L100" s="16">
        <v>0.867</v>
      </c>
      <c r="M100" s="16">
        <v>0.674</v>
      </c>
      <c r="N100" s="16">
        <v>0.849</v>
      </c>
      <c r="O100" s="16">
        <v>0.698</v>
      </c>
      <c r="P100" s="16">
        <v>0.766</v>
      </c>
      <c r="Q100" s="10"/>
      <c r="R100" s="16">
        <v>0.817</v>
      </c>
      <c r="S100" s="16">
        <v>0.29</v>
      </c>
      <c r="T100" s="10"/>
      <c r="U100" s="10"/>
      <c r="V100" s="10"/>
      <c r="W100" s="10"/>
      <c r="X100" s="16">
        <v>0.815</v>
      </c>
    </row>
    <row r="101" ht="15.75" customHeight="1">
      <c r="A101" s="25" t="s">
        <v>92</v>
      </c>
      <c r="B101" s="9">
        <v>3.53</v>
      </c>
      <c r="C101" s="9">
        <v>3.41</v>
      </c>
      <c r="D101" s="9">
        <v>4.44</v>
      </c>
      <c r="E101" s="9">
        <v>2.65</v>
      </c>
      <c r="F101" s="9">
        <v>4.37</v>
      </c>
      <c r="G101" s="9">
        <v>2.98</v>
      </c>
      <c r="H101" s="9">
        <v>2.93</v>
      </c>
      <c r="I101" s="10"/>
      <c r="J101" s="10"/>
      <c r="K101" s="9">
        <v>3.07</v>
      </c>
      <c r="L101" s="9">
        <v>3.98</v>
      </c>
      <c r="M101" s="9">
        <v>2.59</v>
      </c>
      <c r="N101" s="36">
        <v>2.7</v>
      </c>
      <c r="O101" s="9">
        <v>4.01</v>
      </c>
      <c r="P101" s="9">
        <v>2.21</v>
      </c>
      <c r="Q101" s="10"/>
      <c r="R101" s="9">
        <v>2.03</v>
      </c>
      <c r="S101" s="9">
        <v>3.56</v>
      </c>
      <c r="T101" s="10"/>
      <c r="U101" s="10"/>
      <c r="V101" s="10"/>
      <c r="W101" s="10"/>
      <c r="X101" s="9">
        <v>3.08</v>
      </c>
    </row>
    <row r="102" ht="15.75" customHeight="1">
      <c r="A102" s="25" t="s">
        <v>51</v>
      </c>
      <c r="B102" s="9" t="s">
        <v>52</v>
      </c>
      <c r="C102" s="9" t="s">
        <v>52</v>
      </c>
      <c r="D102" s="9" t="s">
        <v>54</v>
      </c>
      <c r="E102" s="9" t="s">
        <v>54</v>
      </c>
      <c r="F102" s="9" t="s">
        <v>52</v>
      </c>
      <c r="G102" s="9" t="s">
        <v>52</v>
      </c>
      <c r="H102" s="9" t="s">
        <v>59</v>
      </c>
      <c r="I102" s="10"/>
      <c r="J102" s="10"/>
      <c r="K102" s="9" t="s">
        <v>52</v>
      </c>
      <c r="L102" s="9" t="s">
        <v>52</v>
      </c>
      <c r="M102" s="9" t="s">
        <v>52</v>
      </c>
      <c r="N102" s="9" t="s">
        <v>74</v>
      </c>
      <c r="O102" s="9" t="s">
        <v>54</v>
      </c>
      <c r="P102" s="9" t="s">
        <v>52</v>
      </c>
      <c r="Q102" s="10"/>
      <c r="R102" s="9" t="s">
        <v>59</v>
      </c>
      <c r="S102" s="9" t="s">
        <v>54</v>
      </c>
      <c r="T102" s="10"/>
      <c r="U102" s="10"/>
      <c r="V102" s="10"/>
      <c r="W102" s="10"/>
      <c r="X102" s="9" t="s">
        <v>59</v>
      </c>
    </row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>
      <c r="A112" s="40"/>
      <c r="P112" s="40"/>
      <c r="Q112" s="40"/>
      <c r="T112" s="40"/>
      <c r="U112" s="40"/>
      <c r="V112" s="40"/>
      <c r="W112" s="40"/>
      <c r="X112" s="40"/>
      <c r="Y112" s="40"/>
      <c r="Z112" s="40"/>
    </row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8">
    <mergeCell ref="A1:K1"/>
    <mergeCell ref="A14:K14"/>
    <mergeCell ref="A28:K28"/>
    <mergeCell ref="A41:K41"/>
    <mergeCell ref="A54:K54"/>
    <mergeCell ref="A66:K66"/>
    <mergeCell ref="A79:K79"/>
    <mergeCell ref="A92:K92"/>
  </mergeCells>
  <printOptions gridLines="1" horizontalCentered="1"/>
  <pageMargins bottom="0.75" footer="0.0" header="0.0" left="0.7" right="0.7" top="0.75"/>
  <pageSetup fitToHeight="0" orientation="landscape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3.88"/>
    <col customWidth="1" min="2" max="2" width="12.63"/>
    <col customWidth="1" min="3" max="3" width="14.25"/>
    <col customWidth="1" min="4" max="4" width="14.0"/>
    <col customWidth="1" min="5" max="5" width="12.63"/>
    <col customWidth="1" min="6" max="6" width="14.5"/>
    <col customWidth="1" min="7" max="7" width="13.25"/>
    <col customWidth="1" min="8" max="8" width="14.0"/>
    <col customWidth="1" min="9" max="9" width="14.38"/>
  </cols>
  <sheetData>
    <row r="1" ht="15.75" customHeight="1"/>
    <row r="2" ht="15.75" customHeight="1">
      <c r="B2" s="41" t="s">
        <v>95</v>
      </c>
      <c r="C2" s="2"/>
      <c r="D2" s="2"/>
      <c r="E2" s="2"/>
      <c r="F2" s="2"/>
      <c r="G2" s="2"/>
      <c r="H2" s="2"/>
      <c r="I2" s="2"/>
    </row>
    <row r="3" ht="15.75" customHeight="1">
      <c r="B3" s="42" t="s">
        <v>0</v>
      </c>
      <c r="C3" s="43" t="s">
        <v>96</v>
      </c>
      <c r="D3" s="42" t="s">
        <v>61</v>
      </c>
      <c r="E3" s="42" t="s">
        <v>75</v>
      </c>
      <c r="F3" s="42" t="s">
        <v>83</v>
      </c>
      <c r="G3" s="42" t="s">
        <v>90</v>
      </c>
      <c r="H3" s="42" t="s">
        <v>93</v>
      </c>
      <c r="I3" s="44" t="s">
        <v>94</v>
      </c>
    </row>
    <row r="4" ht="15.75" customHeight="1">
      <c r="B4" s="45"/>
      <c r="C4" s="45"/>
      <c r="D4" s="45"/>
      <c r="E4" s="45"/>
      <c r="F4" s="45"/>
      <c r="G4" s="45"/>
      <c r="H4" s="45"/>
      <c r="I4" s="45"/>
    </row>
    <row r="5" ht="15.75" customHeight="1">
      <c r="A5" s="8" t="s">
        <v>44</v>
      </c>
      <c r="B5" s="9">
        <v>7.0</v>
      </c>
      <c r="C5" s="11"/>
      <c r="D5" s="9">
        <v>27.0</v>
      </c>
      <c r="E5" s="9">
        <v>19.0</v>
      </c>
      <c r="F5" s="9">
        <v>14.0</v>
      </c>
      <c r="G5" s="9">
        <v>25.0</v>
      </c>
      <c r="H5" s="9">
        <v>34.0</v>
      </c>
      <c r="I5" s="9">
        <v>16.0</v>
      </c>
    </row>
    <row r="6" ht="15.75" customHeight="1">
      <c r="A6" s="8" t="s">
        <v>45</v>
      </c>
      <c r="B6" s="9">
        <v>7.0</v>
      </c>
      <c r="C6" s="11"/>
      <c r="D6" s="9">
        <v>21.0</v>
      </c>
      <c r="E6" s="9">
        <v>13.0</v>
      </c>
      <c r="F6" s="9">
        <v>10.0</v>
      </c>
      <c r="G6" s="9">
        <v>13.0</v>
      </c>
      <c r="H6" s="9">
        <v>15.0</v>
      </c>
      <c r="I6" s="9">
        <v>13.0</v>
      </c>
    </row>
    <row r="7" ht="15.75" customHeight="1">
      <c r="A7" s="8" t="s">
        <v>46</v>
      </c>
      <c r="B7" s="9">
        <v>11.0</v>
      </c>
      <c r="C7" s="11"/>
      <c r="D7" s="9">
        <v>69.0</v>
      </c>
      <c r="E7" s="9">
        <v>70.0</v>
      </c>
      <c r="F7" s="9">
        <v>21.0</v>
      </c>
      <c r="G7" s="9">
        <v>148.0</v>
      </c>
      <c r="H7" s="9">
        <v>120.0</v>
      </c>
      <c r="I7" s="9">
        <v>35.0</v>
      </c>
    </row>
    <row r="8" ht="15.75" customHeight="1">
      <c r="A8" s="8" t="s">
        <v>47</v>
      </c>
      <c r="B8" s="9">
        <v>11.0</v>
      </c>
      <c r="C8" s="11"/>
      <c r="D8" s="9">
        <v>56.0</v>
      </c>
      <c r="E8" s="9">
        <v>59.0</v>
      </c>
      <c r="F8" s="9">
        <v>16.0</v>
      </c>
      <c r="G8" s="9">
        <v>102.0</v>
      </c>
      <c r="H8" s="9">
        <v>86.0</v>
      </c>
      <c r="I8" s="9">
        <v>31.0</v>
      </c>
    </row>
    <row r="9" ht="14.25" customHeight="1">
      <c r="A9" s="15" t="s">
        <v>49</v>
      </c>
      <c r="B9" s="16">
        <f>(B8)/(B7)</f>
        <v>1</v>
      </c>
      <c r="C9" s="11"/>
      <c r="D9" s="16">
        <v>0.812</v>
      </c>
      <c r="E9" s="16">
        <v>0.843</v>
      </c>
      <c r="F9" s="16">
        <v>0.761904761904762</v>
      </c>
      <c r="G9" s="16">
        <v>0.689</v>
      </c>
      <c r="H9" s="16">
        <v>0.717</v>
      </c>
      <c r="I9" s="16">
        <v>0.886</v>
      </c>
    </row>
    <row r="10" ht="15.75" customHeight="1">
      <c r="A10" s="12" t="s">
        <v>48</v>
      </c>
      <c r="B10" s="13">
        <v>6.0</v>
      </c>
      <c r="C10" s="46"/>
      <c r="D10" s="13">
        <v>11.0</v>
      </c>
      <c r="E10" s="13">
        <v>8.0</v>
      </c>
      <c r="F10" s="13">
        <v>8.0</v>
      </c>
      <c r="G10" s="13">
        <v>10.0</v>
      </c>
      <c r="H10" s="13">
        <v>11.0</v>
      </c>
      <c r="I10" s="13">
        <v>8.0</v>
      </c>
    </row>
    <row r="11" ht="15.75" customHeight="1">
      <c r="A11" s="15" t="s">
        <v>50</v>
      </c>
      <c r="B11" s="36">
        <v>1.82</v>
      </c>
      <c r="C11" s="47"/>
      <c r="D11" s="36">
        <v>3.34</v>
      </c>
      <c r="E11" s="36">
        <v>3.69</v>
      </c>
      <c r="F11" s="36">
        <v>2.5</v>
      </c>
      <c r="G11" s="36">
        <v>3.239</v>
      </c>
      <c r="H11" s="9">
        <v>3.33</v>
      </c>
      <c r="I11" s="9">
        <v>3.53</v>
      </c>
    </row>
    <row r="12" ht="15.75" customHeight="1">
      <c r="A12" s="20" t="s">
        <v>51</v>
      </c>
      <c r="B12" s="9" t="s">
        <v>52</v>
      </c>
      <c r="C12" s="11"/>
      <c r="D12" s="9" t="s">
        <v>74</v>
      </c>
      <c r="E12" s="9" t="s">
        <v>52</v>
      </c>
      <c r="F12" s="9" t="s">
        <v>52</v>
      </c>
      <c r="G12" s="9" t="s">
        <v>52</v>
      </c>
      <c r="H12" s="9" t="s">
        <v>53</v>
      </c>
      <c r="I12" s="9" t="s">
        <v>52</v>
      </c>
    </row>
    <row r="13" ht="15.75" customHeight="1"/>
    <row r="14" ht="15.75" customHeight="1"/>
    <row r="15" ht="15.75" customHeight="1">
      <c r="B15" s="41" t="s">
        <v>97</v>
      </c>
      <c r="C15" s="2"/>
      <c r="D15" s="2"/>
      <c r="E15" s="2"/>
      <c r="F15" s="2"/>
      <c r="G15" s="2"/>
      <c r="H15" s="2"/>
      <c r="I15" s="2"/>
    </row>
    <row r="16" ht="15.75" customHeight="1">
      <c r="B16" s="42" t="s">
        <v>0</v>
      </c>
      <c r="C16" s="43" t="s">
        <v>96</v>
      </c>
      <c r="D16" s="42" t="s">
        <v>61</v>
      </c>
      <c r="E16" s="42" t="s">
        <v>75</v>
      </c>
      <c r="F16" s="42" t="s">
        <v>83</v>
      </c>
      <c r="G16" s="43" t="s">
        <v>90</v>
      </c>
      <c r="H16" s="42" t="s">
        <v>93</v>
      </c>
      <c r="I16" s="44" t="s">
        <v>94</v>
      </c>
    </row>
    <row r="17" ht="15.75" customHeight="1">
      <c r="B17" s="45"/>
      <c r="C17" s="45"/>
      <c r="D17" s="45"/>
      <c r="E17" s="45"/>
      <c r="F17" s="45"/>
      <c r="G17" s="45"/>
      <c r="H17" s="45"/>
      <c r="I17" s="45"/>
    </row>
    <row r="18" ht="15.75" customHeight="1">
      <c r="A18" s="8" t="s">
        <v>44</v>
      </c>
      <c r="B18" s="9">
        <v>17.0</v>
      </c>
      <c r="C18" s="11"/>
      <c r="D18" s="9">
        <v>20.0</v>
      </c>
      <c r="E18" s="9">
        <v>22.0</v>
      </c>
      <c r="F18" s="9">
        <v>30.0</v>
      </c>
      <c r="G18" s="10"/>
      <c r="H18" s="9">
        <v>22.0</v>
      </c>
      <c r="I18" s="9">
        <v>18.0</v>
      </c>
    </row>
    <row r="19" ht="15.75" customHeight="1">
      <c r="A19" s="8" t="s">
        <v>45</v>
      </c>
      <c r="B19" s="9">
        <v>15.0</v>
      </c>
      <c r="C19" s="11"/>
      <c r="D19" s="9">
        <v>15.0</v>
      </c>
      <c r="E19" s="9">
        <v>19.0</v>
      </c>
      <c r="F19" s="9">
        <v>23.0</v>
      </c>
      <c r="G19" s="10"/>
      <c r="H19" s="9">
        <v>15.0</v>
      </c>
      <c r="I19" s="9">
        <v>12.0</v>
      </c>
    </row>
    <row r="20" ht="15.75" customHeight="1">
      <c r="A20" s="8" t="s">
        <v>46</v>
      </c>
      <c r="B20" s="9">
        <v>44.0</v>
      </c>
      <c r="C20" s="11"/>
      <c r="D20" s="9">
        <v>86.0</v>
      </c>
      <c r="E20" s="9">
        <v>155.0</v>
      </c>
      <c r="F20" s="9">
        <v>142.0</v>
      </c>
      <c r="G20" s="10"/>
      <c r="H20" s="9">
        <v>96.0</v>
      </c>
      <c r="I20" s="9">
        <v>109.0</v>
      </c>
    </row>
    <row r="21" ht="15.75" customHeight="1">
      <c r="A21" s="8" t="s">
        <v>47</v>
      </c>
      <c r="B21" s="9">
        <v>40.0</v>
      </c>
      <c r="C21" s="11"/>
      <c r="D21" s="9">
        <v>68.0</v>
      </c>
      <c r="E21" s="9">
        <v>152.0</v>
      </c>
      <c r="F21" s="9">
        <v>111.0</v>
      </c>
      <c r="G21" s="10"/>
      <c r="H21" s="9">
        <v>65.0</v>
      </c>
      <c r="I21" s="9">
        <v>80.0</v>
      </c>
    </row>
    <row r="22" ht="15.75" customHeight="1">
      <c r="A22" s="15" t="s">
        <v>49</v>
      </c>
      <c r="B22" s="16">
        <f>(B21)/(B20)</f>
        <v>0.9090909091</v>
      </c>
      <c r="C22" s="11"/>
      <c r="D22" s="16">
        <v>0.791</v>
      </c>
      <c r="E22" s="16">
        <v>0.981</v>
      </c>
      <c r="F22" s="16">
        <v>0.78169014084507</v>
      </c>
      <c r="G22" s="14"/>
      <c r="H22" s="16">
        <v>0.677</v>
      </c>
      <c r="I22" s="16">
        <v>0.734</v>
      </c>
    </row>
    <row r="23" ht="29.25" customHeight="1">
      <c r="A23" s="12" t="s">
        <v>48</v>
      </c>
      <c r="B23" s="13">
        <v>10.0</v>
      </c>
      <c r="C23" s="46"/>
      <c r="D23" s="13">
        <v>9.0</v>
      </c>
      <c r="E23" s="13">
        <v>12.0</v>
      </c>
      <c r="F23" s="13">
        <v>16.0</v>
      </c>
      <c r="G23" s="17"/>
      <c r="H23" s="13">
        <v>10.0</v>
      </c>
      <c r="I23" s="13">
        <v>8.0</v>
      </c>
    </row>
    <row r="24" ht="15.75" customHeight="1">
      <c r="A24" s="15" t="s">
        <v>50</v>
      </c>
      <c r="B24" s="36">
        <v>3.08</v>
      </c>
      <c r="C24" s="47"/>
      <c r="D24" s="36">
        <v>3.6</v>
      </c>
      <c r="E24" s="36">
        <v>2.9</v>
      </c>
      <c r="F24" s="36">
        <v>3.048</v>
      </c>
      <c r="G24" s="19"/>
      <c r="H24" s="9">
        <v>2.67</v>
      </c>
      <c r="I24" s="9">
        <v>3.41</v>
      </c>
    </row>
    <row r="25" ht="15.75" customHeight="1">
      <c r="A25" s="8" t="s">
        <v>51</v>
      </c>
      <c r="B25" s="9" t="s">
        <v>53</v>
      </c>
      <c r="C25" s="11"/>
      <c r="D25" s="9" t="s">
        <v>53</v>
      </c>
      <c r="E25" s="9" t="s">
        <v>53</v>
      </c>
      <c r="F25" s="9" t="s">
        <v>74</v>
      </c>
      <c r="G25" s="19"/>
      <c r="H25" s="9" t="s">
        <v>53</v>
      </c>
      <c r="I25" s="9" t="s">
        <v>52</v>
      </c>
    </row>
    <row r="26" ht="15.75" customHeight="1"/>
    <row r="27" ht="15.75" customHeight="1"/>
    <row r="28" ht="15.75" customHeight="1">
      <c r="B28" s="41" t="s">
        <v>98</v>
      </c>
      <c r="C28" s="2"/>
      <c r="D28" s="2"/>
      <c r="E28" s="2"/>
      <c r="F28" s="2"/>
      <c r="G28" s="2"/>
      <c r="H28" s="2"/>
      <c r="I28" s="2"/>
    </row>
    <row r="29" ht="15.75" customHeight="1">
      <c r="B29" s="42" t="s">
        <v>0</v>
      </c>
      <c r="C29" s="43" t="s">
        <v>96</v>
      </c>
      <c r="D29" s="42" t="s">
        <v>61</v>
      </c>
      <c r="E29" s="42" t="s">
        <v>75</v>
      </c>
      <c r="F29" s="42" t="s">
        <v>83</v>
      </c>
      <c r="G29" s="43" t="s">
        <v>90</v>
      </c>
      <c r="H29" s="43" t="s">
        <v>93</v>
      </c>
      <c r="I29" s="44" t="s">
        <v>94</v>
      </c>
    </row>
    <row r="30" ht="15.75" customHeight="1">
      <c r="B30" s="45"/>
      <c r="C30" s="45"/>
      <c r="D30" s="45"/>
      <c r="E30" s="45"/>
      <c r="F30" s="45"/>
      <c r="G30" s="45"/>
      <c r="H30" s="45"/>
      <c r="I30" s="45"/>
    </row>
    <row r="31" ht="15.75" customHeight="1">
      <c r="A31" s="8" t="s">
        <v>44</v>
      </c>
      <c r="B31" s="9">
        <v>9.0</v>
      </c>
      <c r="C31" s="11"/>
      <c r="D31" s="9">
        <v>18.0</v>
      </c>
      <c r="E31" s="9">
        <v>7.0</v>
      </c>
      <c r="F31" s="9">
        <v>19.0</v>
      </c>
      <c r="G31" s="10"/>
      <c r="H31" s="10"/>
      <c r="I31" s="9">
        <v>17.0</v>
      </c>
    </row>
    <row r="32" ht="15.75" customHeight="1">
      <c r="A32" s="8" t="s">
        <v>45</v>
      </c>
      <c r="B32" s="9">
        <v>8.0</v>
      </c>
      <c r="C32" s="11"/>
      <c r="D32" s="9">
        <v>12.0</v>
      </c>
      <c r="E32" s="9">
        <v>3.0</v>
      </c>
      <c r="F32" s="9">
        <v>11.0</v>
      </c>
      <c r="G32" s="10"/>
      <c r="H32" s="10"/>
      <c r="I32" s="9">
        <v>7.0</v>
      </c>
    </row>
    <row r="33" ht="15.75" customHeight="1">
      <c r="A33" s="8" t="s">
        <v>46</v>
      </c>
      <c r="B33" s="9">
        <v>21.0</v>
      </c>
      <c r="C33" s="11"/>
      <c r="D33" s="9">
        <v>53.0</v>
      </c>
      <c r="E33" s="9">
        <v>16.0</v>
      </c>
      <c r="F33" s="9">
        <v>53.0</v>
      </c>
      <c r="G33" s="10"/>
      <c r="H33" s="10"/>
      <c r="I33" s="9">
        <v>35.0</v>
      </c>
    </row>
    <row r="34" ht="15.75" customHeight="1">
      <c r="A34" s="8" t="s">
        <v>47</v>
      </c>
      <c r="B34" s="9">
        <v>20.0</v>
      </c>
      <c r="C34" s="11"/>
      <c r="D34" s="9">
        <v>25.0</v>
      </c>
      <c r="E34" s="9">
        <v>11.0</v>
      </c>
      <c r="F34" s="9">
        <v>42.0</v>
      </c>
      <c r="G34" s="10"/>
      <c r="H34" s="10"/>
      <c r="I34" s="9">
        <v>12.0</v>
      </c>
    </row>
    <row r="35" ht="15.75" customHeight="1">
      <c r="A35" s="15" t="s">
        <v>49</v>
      </c>
      <c r="B35" s="48">
        <v>0.952</v>
      </c>
      <c r="C35" s="11"/>
      <c r="D35" s="16">
        <v>0.472</v>
      </c>
      <c r="E35" s="16">
        <v>0.688</v>
      </c>
      <c r="F35" s="16">
        <v>0.792452830188679</v>
      </c>
      <c r="G35" s="14"/>
      <c r="H35" s="14"/>
      <c r="I35" s="16">
        <v>0.343</v>
      </c>
    </row>
    <row r="36" ht="24.0" customHeight="1">
      <c r="A36" s="12" t="s">
        <v>48</v>
      </c>
      <c r="B36" s="13">
        <v>5.0</v>
      </c>
      <c r="C36" s="46"/>
      <c r="D36" s="13">
        <v>6.0</v>
      </c>
      <c r="E36" s="13">
        <v>1.0</v>
      </c>
      <c r="F36" s="13">
        <v>4.0</v>
      </c>
      <c r="G36" s="17"/>
      <c r="H36" s="17"/>
      <c r="I36" s="13">
        <v>3.0</v>
      </c>
    </row>
    <row r="37" ht="15.75" customHeight="1">
      <c r="A37" s="15" t="s">
        <v>50</v>
      </c>
      <c r="B37" s="36">
        <v>3.27</v>
      </c>
      <c r="C37" s="47"/>
      <c r="D37" s="36">
        <v>4.56</v>
      </c>
      <c r="E37" s="36">
        <v>4.58</v>
      </c>
      <c r="F37" s="36">
        <v>4.293</v>
      </c>
      <c r="G37" s="19"/>
      <c r="H37" s="10"/>
      <c r="I37" s="9">
        <v>4.44</v>
      </c>
    </row>
    <row r="38" ht="15.75" customHeight="1">
      <c r="A38" s="8" t="s">
        <v>51</v>
      </c>
      <c r="B38" s="9" t="s">
        <v>54</v>
      </c>
      <c r="C38" s="11"/>
      <c r="D38" s="9" t="s">
        <v>52</v>
      </c>
      <c r="E38" s="9" t="s">
        <v>54</v>
      </c>
      <c r="F38" s="9" t="s">
        <v>52</v>
      </c>
      <c r="G38" s="19"/>
      <c r="H38" s="10"/>
      <c r="I38" s="9" t="s">
        <v>54</v>
      </c>
    </row>
    <row r="39" ht="15.75" customHeight="1"/>
    <row r="40" ht="15.75" customHeight="1"/>
    <row r="41" ht="15.75" customHeight="1">
      <c r="B41" s="41" t="s">
        <v>99</v>
      </c>
      <c r="C41" s="2"/>
      <c r="D41" s="2"/>
      <c r="E41" s="2"/>
      <c r="F41" s="2"/>
      <c r="G41" s="2"/>
      <c r="H41" s="2"/>
      <c r="I41" s="2"/>
    </row>
    <row r="42" ht="15.75" customHeight="1">
      <c r="B42" s="42" t="s">
        <v>0</v>
      </c>
      <c r="C42" s="43" t="s">
        <v>96</v>
      </c>
      <c r="D42" s="42" t="s">
        <v>61</v>
      </c>
      <c r="E42" s="42" t="s">
        <v>75</v>
      </c>
      <c r="F42" s="42" t="s">
        <v>83</v>
      </c>
      <c r="G42" s="43" t="s">
        <v>90</v>
      </c>
      <c r="H42" s="43" t="s">
        <v>93</v>
      </c>
      <c r="I42" s="44" t="s">
        <v>94</v>
      </c>
    </row>
    <row r="43" ht="15.75" customHeight="1">
      <c r="B43" s="45"/>
      <c r="C43" s="45"/>
      <c r="D43" s="45"/>
      <c r="E43" s="45"/>
      <c r="F43" s="45"/>
      <c r="G43" s="45"/>
      <c r="H43" s="45"/>
      <c r="I43" s="45"/>
    </row>
    <row r="44" ht="15.75" customHeight="1">
      <c r="A44" s="8" t="s">
        <v>44</v>
      </c>
      <c r="B44" s="9">
        <v>15.0</v>
      </c>
      <c r="C44" s="11"/>
      <c r="D44" s="9">
        <v>21.0</v>
      </c>
      <c r="E44" s="9">
        <v>22.0</v>
      </c>
      <c r="F44" s="9">
        <v>23.0</v>
      </c>
      <c r="G44" s="10"/>
      <c r="H44" s="10"/>
      <c r="I44" s="9">
        <v>10.0</v>
      </c>
    </row>
    <row r="45" ht="15.75" customHeight="1">
      <c r="A45" s="8" t="s">
        <v>45</v>
      </c>
      <c r="B45" s="9">
        <v>13.0</v>
      </c>
      <c r="C45" s="11"/>
      <c r="D45" s="9">
        <v>14.0</v>
      </c>
      <c r="E45" s="9">
        <v>15.0</v>
      </c>
      <c r="F45" s="9">
        <v>16.0</v>
      </c>
      <c r="G45" s="10"/>
      <c r="H45" s="10"/>
      <c r="I45" s="9">
        <v>5.0</v>
      </c>
    </row>
    <row r="46" ht="15.75" customHeight="1">
      <c r="A46" s="8" t="s">
        <v>46</v>
      </c>
      <c r="B46" s="9">
        <v>58.0</v>
      </c>
      <c r="C46" s="11"/>
      <c r="D46" s="9">
        <v>64.0</v>
      </c>
      <c r="E46" s="9">
        <v>85.0</v>
      </c>
      <c r="F46" s="9">
        <v>77.0</v>
      </c>
      <c r="G46" s="10"/>
      <c r="H46" s="10"/>
      <c r="I46" s="9">
        <v>60.0</v>
      </c>
    </row>
    <row r="47" ht="15.75" customHeight="1">
      <c r="A47" s="8" t="s">
        <v>47</v>
      </c>
      <c r="B47" s="9">
        <v>56.0</v>
      </c>
      <c r="C47" s="11"/>
      <c r="D47" s="9">
        <v>40.0</v>
      </c>
      <c r="E47" s="9">
        <v>72.0</v>
      </c>
      <c r="F47" s="9">
        <v>57.0</v>
      </c>
      <c r="G47" s="10"/>
      <c r="H47" s="10"/>
      <c r="I47" s="9">
        <v>40.0</v>
      </c>
    </row>
    <row r="48" ht="15.75" customHeight="1">
      <c r="A48" s="15" t="s">
        <v>49</v>
      </c>
      <c r="B48" s="16">
        <f>(B47)/(B46)</f>
        <v>0.9655172414</v>
      </c>
      <c r="C48" s="11"/>
      <c r="D48" s="16">
        <v>0.625</v>
      </c>
      <c r="E48" s="16">
        <v>0.847</v>
      </c>
      <c r="F48" s="16">
        <v>0.74025974025974</v>
      </c>
      <c r="G48" s="14"/>
      <c r="H48" s="14"/>
      <c r="I48" s="16">
        <v>0.667</v>
      </c>
    </row>
    <row r="49" ht="24.75" customHeight="1">
      <c r="A49" s="12" t="s">
        <v>48</v>
      </c>
      <c r="B49" s="13">
        <v>8.0</v>
      </c>
      <c r="C49" s="46"/>
      <c r="D49" s="13">
        <v>11.0</v>
      </c>
      <c r="E49" s="13">
        <v>10.0</v>
      </c>
      <c r="F49" s="13">
        <v>8.0</v>
      </c>
      <c r="G49" s="17"/>
      <c r="H49" s="17"/>
      <c r="I49" s="13">
        <v>3.0</v>
      </c>
    </row>
    <row r="50" ht="15.75" customHeight="1">
      <c r="A50" s="15" t="s">
        <v>50</v>
      </c>
      <c r="B50" s="36">
        <v>3.1</v>
      </c>
      <c r="C50" s="47"/>
      <c r="D50" s="36">
        <v>2.89</v>
      </c>
      <c r="E50" s="36">
        <v>3.49</v>
      </c>
      <c r="F50" s="36">
        <v>3.965</v>
      </c>
      <c r="G50" s="19"/>
      <c r="H50" s="10"/>
      <c r="I50" s="9">
        <v>2.65</v>
      </c>
    </row>
    <row r="51" ht="15.75" customHeight="1">
      <c r="A51" s="8" t="s">
        <v>51</v>
      </c>
      <c r="B51" s="9" t="s">
        <v>52</v>
      </c>
      <c r="C51" s="11"/>
      <c r="D51" s="9" t="s">
        <v>52</v>
      </c>
      <c r="E51" s="9" t="s">
        <v>52</v>
      </c>
      <c r="F51" s="9" t="s">
        <v>52</v>
      </c>
      <c r="G51" s="19"/>
      <c r="H51" s="10"/>
      <c r="I51" s="9" t="s">
        <v>54</v>
      </c>
    </row>
    <row r="52" ht="15.75" customHeight="1"/>
    <row r="53" ht="15.75" customHeight="1"/>
    <row r="54" ht="15.75" customHeight="1">
      <c r="B54" s="41" t="s">
        <v>100</v>
      </c>
      <c r="C54" s="2"/>
      <c r="D54" s="2"/>
      <c r="E54" s="2"/>
      <c r="F54" s="2"/>
      <c r="G54" s="2"/>
      <c r="H54" s="2"/>
      <c r="I54" s="2"/>
    </row>
    <row r="55" ht="15.75" customHeight="1">
      <c r="B55" s="42" t="s">
        <v>0</v>
      </c>
      <c r="C55" s="43" t="s">
        <v>96</v>
      </c>
      <c r="D55" s="42" t="s">
        <v>61</v>
      </c>
      <c r="E55" s="43" t="s">
        <v>75</v>
      </c>
      <c r="F55" s="43" t="s">
        <v>83</v>
      </c>
      <c r="G55" s="42" t="s">
        <v>90</v>
      </c>
      <c r="H55" s="43" t="s">
        <v>93</v>
      </c>
      <c r="I55" s="43" t="s">
        <v>94</v>
      </c>
    </row>
    <row r="56" ht="15.75" customHeight="1">
      <c r="B56" s="45"/>
      <c r="C56" s="45"/>
      <c r="D56" s="45"/>
      <c r="E56" s="45"/>
      <c r="F56" s="45"/>
      <c r="G56" s="45"/>
      <c r="H56" s="45"/>
      <c r="I56" s="45"/>
    </row>
    <row r="57" ht="15.75" customHeight="1">
      <c r="A57" s="8" t="s">
        <v>44</v>
      </c>
      <c r="B57" s="9">
        <v>11.0</v>
      </c>
      <c r="C57" s="11"/>
      <c r="D57" s="9">
        <v>24.0</v>
      </c>
      <c r="E57" s="10"/>
      <c r="F57" s="10"/>
      <c r="G57" s="9">
        <v>25.0</v>
      </c>
      <c r="H57" s="10"/>
      <c r="I57" s="10"/>
    </row>
    <row r="58" ht="15.75" customHeight="1">
      <c r="A58" s="8" t="s">
        <v>45</v>
      </c>
      <c r="B58" s="9">
        <v>10.0</v>
      </c>
      <c r="C58" s="11"/>
      <c r="D58" s="9">
        <v>15.0</v>
      </c>
      <c r="E58" s="10"/>
      <c r="F58" s="10"/>
      <c r="G58" s="9">
        <v>17.0</v>
      </c>
      <c r="H58" s="10"/>
      <c r="I58" s="10"/>
    </row>
    <row r="59" ht="15.75" customHeight="1">
      <c r="A59" s="8" t="s">
        <v>46</v>
      </c>
      <c r="B59" s="9">
        <v>33.0</v>
      </c>
      <c r="C59" s="11"/>
      <c r="D59" s="9">
        <v>71.0</v>
      </c>
      <c r="E59" s="10"/>
      <c r="F59" s="10"/>
      <c r="G59" s="9">
        <v>72.0</v>
      </c>
      <c r="H59" s="10"/>
      <c r="I59" s="10"/>
    </row>
    <row r="60" ht="15.75" customHeight="1">
      <c r="A60" s="8" t="s">
        <v>47</v>
      </c>
      <c r="B60" s="9">
        <v>32.0</v>
      </c>
      <c r="C60" s="11"/>
      <c r="D60" s="9">
        <v>54.0</v>
      </c>
      <c r="E60" s="10"/>
      <c r="F60" s="10"/>
      <c r="G60" s="9">
        <v>57.0</v>
      </c>
      <c r="H60" s="10"/>
      <c r="I60" s="10"/>
    </row>
    <row r="61" ht="15.75" customHeight="1">
      <c r="A61" s="15" t="s">
        <v>49</v>
      </c>
      <c r="B61" s="16">
        <f>(B60)/(B59)</f>
        <v>0.9696969697</v>
      </c>
      <c r="C61" s="11"/>
      <c r="D61" s="16">
        <v>0.761</v>
      </c>
      <c r="E61" s="14"/>
      <c r="F61" s="14"/>
      <c r="G61" s="16">
        <v>0.792</v>
      </c>
      <c r="H61" s="14"/>
      <c r="I61" s="14"/>
    </row>
    <row r="62" ht="15.75" customHeight="1">
      <c r="A62" s="12" t="s">
        <v>48</v>
      </c>
      <c r="B62" s="13">
        <v>5.0</v>
      </c>
      <c r="C62" s="46"/>
      <c r="D62" s="49">
        <v>9.0</v>
      </c>
      <c r="E62" s="17"/>
      <c r="F62" s="17"/>
      <c r="G62" s="49">
        <v>9.0</v>
      </c>
      <c r="H62" s="17"/>
      <c r="I62" s="17"/>
    </row>
    <row r="63" ht="15.75" customHeight="1">
      <c r="A63" s="15" t="s">
        <v>50</v>
      </c>
      <c r="B63" s="36">
        <v>2.56</v>
      </c>
      <c r="C63" s="32"/>
      <c r="D63" s="9">
        <v>4.41</v>
      </c>
      <c r="E63" s="50"/>
      <c r="F63" s="50"/>
      <c r="G63" s="9">
        <v>2.92</v>
      </c>
      <c r="H63" s="10"/>
      <c r="I63" s="10"/>
    </row>
    <row r="64" ht="15.75" customHeight="1">
      <c r="A64" s="8" t="s">
        <v>51</v>
      </c>
      <c r="B64" s="9" t="s">
        <v>54</v>
      </c>
      <c r="C64" s="11"/>
      <c r="D64" s="9" t="s">
        <v>52</v>
      </c>
      <c r="E64" s="10"/>
      <c r="F64" s="10"/>
      <c r="G64" s="9" t="s">
        <v>52</v>
      </c>
      <c r="H64" s="10"/>
      <c r="I64" s="10"/>
    </row>
    <row r="65" ht="15.75" customHeight="1"/>
    <row r="66" ht="15.75" customHeight="1"/>
    <row r="67" ht="15.75" customHeight="1">
      <c r="B67" s="41" t="s">
        <v>101</v>
      </c>
      <c r="C67" s="2"/>
      <c r="D67" s="2"/>
      <c r="E67" s="2"/>
      <c r="F67" s="2"/>
      <c r="G67" s="2"/>
      <c r="H67" s="2"/>
      <c r="I67" s="2"/>
    </row>
    <row r="68" ht="15.75" customHeight="1">
      <c r="B68" s="42" t="s">
        <v>0</v>
      </c>
      <c r="C68" s="42" t="s">
        <v>96</v>
      </c>
      <c r="D68" s="42" t="s">
        <v>61</v>
      </c>
      <c r="E68" s="42" t="s">
        <v>75</v>
      </c>
      <c r="F68" s="42" t="s">
        <v>83</v>
      </c>
      <c r="G68" s="43" t="s">
        <v>90</v>
      </c>
      <c r="H68" s="42" t="s">
        <v>93</v>
      </c>
      <c r="I68" s="51" t="s">
        <v>94</v>
      </c>
    </row>
    <row r="69" ht="15.75" customHeight="1">
      <c r="B69" s="45"/>
      <c r="C69" s="45"/>
      <c r="D69" s="45"/>
      <c r="E69" s="45"/>
      <c r="F69" s="45"/>
      <c r="G69" s="45"/>
      <c r="H69" s="45"/>
      <c r="I69" s="45"/>
    </row>
    <row r="70" ht="15.75" customHeight="1">
      <c r="A70" s="8" t="s">
        <v>44</v>
      </c>
      <c r="B70" s="9">
        <v>13.0</v>
      </c>
      <c r="C70" s="9">
        <v>14.0</v>
      </c>
      <c r="D70" s="9">
        <v>18.0</v>
      </c>
      <c r="E70" s="9">
        <v>27.0</v>
      </c>
      <c r="F70" s="9">
        <v>27.0</v>
      </c>
      <c r="G70" s="10"/>
      <c r="H70" s="9">
        <v>22.0</v>
      </c>
      <c r="I70" s="9">
        <v>20.0</v>
      </c>
    </row>
    <row r="71" ht="15.75" customHeight="1">
      <c r="A71" s="8" t="s">
        <v>45</v>
      </c>
      <c r="B71" s="9">
        <v>12.0</v>
      </c>
      <c r="C71" s="9">
        <v>7.0</v>
      </c>
      <c r="D71" s="9">
        <v>18.0</v>
      </c>
      <c r="E71" s="9">
        <v>20.0</v>
      </c>
      <c r="F71" s="9">
        <v>19.0</v>
      </c>
      <c r="G71" s="10"/>
      <c r="H71" s="9">
        <v>14.0</v>
      </c>
      <c r="I71" s="9">
        <v>13.0</v>
      </c>
    </row>
    <row r="72" ht="15.75" customHeight="1">
      <c r="A72" s="8" t="s">
        <v>46</v>
      </c>
      <c r="B72" s="9">
        <v>31.0</v>
      </c>
      <c r="C72" s="9">
        <v>139.0</v>
      </c>
      <c r="D72" s="9">
        <v>62.0</v>
      </c>
      <c r="E72" s="9">
        <v>107.0</v>
      </c>
      <c r="F72" s="9">
        <v>133.0</v>
      </c>
      <c r="G72" s="10"/>
      <c r="H72" s="9">
        <v>59.0</v>
      </c>
      <c r="I72" s="9">
        <v>90.0</v>
      </c>
    </row>
    <row r="73" ht="15.75" customHeight="1">
      <c r="A73" s="8" t="s">
        <v>47</v>
      </c>
      <c r="B73" s="9">
        <v>26.0</v>
      </c>
      <c r="C73" s="9">
        <v>109.0</v>
      </c>
      <c r="D73" s="9">
        <v>62.0</v>
      </c>
      <c r="E73" s="9">
        <v>89.0</v>
      </c>
      <c r="F73" s="9">
        <v>108.0</v>
      </c>
      <c r="G73" s="10"/>
      <c r="H73" s="9">
        <v>43.0</v>
      </c>
      <c r="I73" s="9">
        <v>70.0</v>
      </c>
    </row>
    <row r="74" ht="15.75" customHeight="1">
      <c r="A74" s="15" t="s">
        <v>49</v>
      </c>
      <c r="B74" s="16">
        <f>(B73)/(B72)</f>
        <v>0.8387096774</v>
      </c>
      <c r="C74" s="16">
        <v>0.784</v>
      </c>
      <c r="D74" s="16">
        <v>1.0</v>
      </c>
      <c r="E74" s="16">
        <v>0.832</v>
      </c>
      <c r="F74" s="16">
        <v>0.81203007518797</v>
      </c>
      <c r="G74" s="52"/>
      <c r="H74" s="16">
        <v>0.729</v>
      </c>
      <c r="I74" s="16">
        <v>0.778</v>
      </c>
    </row>
    <row r="75" ht="15.75" customHeight="1">
      <c r="A75" s="12" t="s">
        <v>48</v>
      </c>
      <c r="B75" s="13">
        <v>8.0</v>
      </c>
      <c r="C75" s="13">
        <v>5.0</v>
      </c>
      <c r="D75" s="13">
        <v>10.0</v>
      </c>
      <c r="E75" s="13">
        <v>16.0</v>
      </c>
      <c r="F75" s="13">
        <v>14.0</v>
      </c>
      <c r="G75" s="14"/>
      <c r="H75" s="13">
        <v>8.0</v>
      </c>
      <c r="I75" s="13">
        <v>9.0</v>
      </c>
    </row>
    <row r="76" ht="15.75" customHeight="1">
      <c r="A76" s="15" t="s">
        <v>50</v>
      </c>
      <c r="B76" s="36">
        <v>2.6</v>
      </c>
      <c r="C76" s="36">
        <v>2.72</v>
      </c>
      <c r="D76" s="36">
        <v>3.76</v>
      </c>
      <c r="E76" s="36">
        <v>3.16</v>
      </c>
      <c r="F76" s="36">
        <v>3.6</v>
      </c>
      <c r="G76" s="10"/>
      <c r="H76" s="9">
        <v>3.16</v>
      </c>
      <c r="I76" s="9">
        <v>2.98</v>
      </c>
    </row>
    <row r="77" ht="15.75" customHeight="1">
      <c r="A77" s="8" t="s">
        <v>51</v>
      </c>
      <c r="B77" s="9" t="s">
        <v>52</v>
      </c>
      <c r="C77" s="9" t="s">
        <v>54</v>
      </c>
      <c r="D77" s="9" t="s">
        <v>52</v>
      </c>
      <c r="E77" s="9" t="s">
        <v>53</v>
      </c>
      <c r="F77" s="9" t="s">
        <v>53</v>
      </c>
      <c r="G77" s="10"/>
      <c r="H77" s="9" t="s">
        <v>52</v>
      </c>
      <c r="I77" s="9" t="s">
        <v>52</v>
      </c>
    </row>
    <row r="78" ht="15.75" customHeight="1"/>
    <row r="79" ht="15.75" customHeight="1"/>
    <row r="80" ht="15.75" customHeight="1">
      <c r="B80" s="41" t="s">
        <v>102</v>
      </c>
      <c r="C80" s="2"/>
      <c r="D80" s="2"/>
      <c r="E80" s="2"/>
      <c r="F80" s="2"/>
      <c r="G80" s="2"/>
      <c r="H80" s="2"/>
      <c r="I80" s="2"/>
    </row>
    <row r="81" ht="15.75" customHeight="1">
      <c r="B81" s="42" t="s">
        <v>0</v>
      </c>
      <c r="C81" s="42" t="s">
        <v>96</v>
      </c>
      <c r="D81" s="42" t="s">
        <v>61</v>
      </c>
      <c r="E81" s="42" t="s">
        <v>75</v>
      </c>
      <c r="F81" s="42" t="s">
        <v>83</v>
      </c>
      <c r="G81" s="43" t="s">
        <v>90</v>
      </c>
      <c r="H81" s="43" t="s">
        <v>93</v>
      </c>
      <c r="I81" s="53" t="s">
        <v>94</v>
      </c>
    </row>
    <row r="82" ht="15.75" customHeight="1">
      <c r="B82" s="45"/>
      <c r="C82" s="45"/>
      <c r="D82" s="45"/>
      <c r="E82" s="45"/>
      <c r="F82" s="45"/>
      <c r="G82" s="45"/>
      <c r="H82" s="45"/>
      <c r="I82" s="45"/>
    </row>
    <row r="83" ht="15.75" customHeight="1">
      <c r="A83" s="8" t="s">
        <v>44</v>
      </c>
      <c r="B83" s="9">
        <v>4.0</v>
      </c>
      <c r="C83" s="9">
        <v>6.0</v>
      </c>
      <c r="D83" s="9">
        <v>19.0</v>
      </c>
      <c r="E83" s="9">
        <v>19.0</v>
      </c>
      <c r="F83" s="9">
        <v>29.0</v>
      </c>
      <c r="G83" s="10"/>
      <c r="H83" s="10"/>
      <c r="I83" s="9">
        <v>31.0</v>
      </c>
    </row>
    <row r="84" ht="15.75" customHeight="1">
      <c r="A84" s="8" t="s">
        <v>45</v>
      </c>
      <c r="B84" s="9">
        <v>3.0</v>
      </c>
      <c r="C84" s="9">
        <v>4.0</v>
      </c>
      <c r="D84" s="9">
        <v>14.0</v>
      </c>
      <c r="E84" s="9">
        <v>15.0</v>
      </c>
      <c r="F84" s="9">
        <v>18.0</v>
      </c>
      <c r="G84" s="10"/>
      <c r="H84" s="10"/>
      <c r="I84" s="9">
        <v>22.0</v>
      </c>
    </row>
    <row r="85" ht="15.75" customHeight="1">
      <c r="A85" s="8" t="s">
        <v>46</v>
      </c>
      <c r="B85" s="9">
        <v>4.0</v>
      </c>
      <c r="C85" s="9">
        <v>53.0</v>
      </c>
      <c r="D85" s="9">
        <v>50.0</v>
      </c>
      <c r="E85" s="9">
        <v>124.0</v>
      </c>
      <c r="F85" s="9">
        <v>113.0</v>
      </c>
      <c r="G85" s="10"/>
      <c r="H85" s="10"/>
      <c r="I85" s="9">
        <v>128.0</v>
      </c>
    </row>
    <row r="86" ht="15.75" customHeight="1">
      <c r="A86" s="8" t="s">
        <v>47</v>
      </c>
      <c r="B86" s="9">
        <v>3.0</v>
      </c>
      <c r="C86" s="9">
        <v>39.0</v>
      </c>
      <c r="D86" s="9">
        <v>39.0</v>
      </c>
      <c r="E86" s="9">
        <v>118.0</v>
      </c>
      <c r="F86" s="9">
        <v>94.0</v>
      </c>
      <c r="G86" s="10"/>
      <c r="H86" s="10"/>
      <c r="I86" s="9">
        <v>114.0</v>
      </c>
    </row>
    <row r="87" ht="15.75" customHeight="1">
      <c r="A87" s="15" t="s">
        <v>49</v>
      </c>
      <c r="B87" s="16">
        <f>(B86)/(B85)</f>
        <v>0.75</v>
      </c>
      <c r="C87" s="16">
        <v>0.736</v>
      </c>
      <c r="D87" s="16">
        <v>0.78</v>
      </c>
      <c r="E87" s="16">
        <v>0.952</v>
      </c>
      <c r="F87" s="16">
        <v>0.831858407079646</v>
      </c>
      <c r="G87" s="52"/>
      <c r="H87" s="14"/>
      <c r="I87" s="16">
        <v>0.891</v>
      </c>
    </row>
    <row r="88" ht="15.75" customHeight="1">
      <c r="A88" s="12" t="s">
        <v>48</v>
      </c>
      <c r="B88" s="13">
        <v>1.0</v>
      </c>
      <c r="C88" s="13">
        <v>1.0</v>
      </c>
      <c r="D88" s="13">
        <v>7.0</v>
      </c>
      <c r="E88" s="13">
        <v>10.0</v>
      </c>
      <c r="F88" s="13">
        <v>14.0</v>
      </c>
      <c r="G88" s="54"/>
      <c r="H88" s="17"/>
      <c r="I88" s="13">
        <v>12.0</v>
      </c>
    </row>
    <row r="89" ht="15.75" customHeight="1">
      <c r="A89" s="15" t="s">
        <v>50</v>
      </c>
      <c r="B89" s="36">
        <v>3.95</v>
      </c>
      <c r="C89" s="36">
        <v>3.71</v>
      </c>
      <c r="D89" s="36">
        <v>3.62</v>
      </c>
      <c r="E89" s="36">
        <v>3.46</v>
      </c>
      <c r="F89" s="36">
        <v>3.955</v>
      </c>
      <c r="G89" s="10"/>
      <c r="H89" s="10"/>
      <c r="I89" s="9">
        <v>2.93</v>
      </c>
    </row>
    <row r="90" ht="15.75" customHeight="1">
      <c r="A90" s="8" t="s">
        <v>51</v>
      </c>
      <c r="B90" s="9" t="s">
        <v>54</v>
      </c>
      <c r="C90" s="9" t="s">
        <v>54</v>
      </c>
      <c r="D90" s="9" t="s">
        <v>52</v>
      </c>
      <c r="E90" s="9" t="s">
        <v>52</v>
      </c>
      <c r="F90" s="9" t="s">
        <v>52</v>
      </c>
      <c r="G90" s="10"/>
      <c r="H90" s="10"/>
      <c r="I90" s="9" t="s">
        <v>59</v>
      </c>
    </row>
    <row r="91" ht="15.75" customHeight="1"/>
    <row r="92" ht="15.75" customHeight="1"/>
    <row r="93" ht="15.75" customHeight="1">
      <c r="B93" s="41" t="s">
        <v>103</v>
      </c>
      <c r="C93" s="2"/>
      <c r="D93" s="2"/>
      <c r="E93" s="2"/>
      <c r="F93" s="2"/>
      <c r="G93" s="2"/>
      <c r="H93" s="2"/>
      <c r="I93" s="2"/>
    </row>
    <row r="94" ht="15.75" customHeight="1">
      <c r="B94" s="42" t="s">
        <v>0</v>
      </c>
      <c r="C94" s="42" t="s">
        <v>96</v>
      </c>
      <c r="D94" s="42" t="s">
        <v>61</v>
      </c>
      <c r="E94" s="43" t="s">
        <v>75</v>
      </c>
      <c r="F94" s="42" t="s">
        <v>83</v>
      </c>
      <c r="G94" s="42" t="s">
        <v>90</v>
      </c>
      <c r="H94" s="43" t="s">
        <v>93</v>
      </c>
      <c r="I94" s="43" t="s">
        <v>94</v>
      </c>
    </row>
    <row r="95" ht="15.75" customHeight="1">
      <c r="B95" s="45"/>
      <c r="C95" s="45"/>
      <c r="D95" s="45"/>
      <c r="E95" s="45"/>
      <c r="F95" s="45"/>
      <c r="G95" s="45"/>
      <c r="H95" s="45"/>
      <c r="I95" s="45"/>
    </row>
    <row r="96" ht="15.75" customHeight="1">
      <c r="A96" s="8" t="s">
        <v>44</v>
      </c>
      <c r="B96" s="9">
        <v>20.0</v>
      </c>
      <c r="C96" s="9">
        <v>22.0</v>
      </c>
      <c r="D96" s="9">
        <v>31.0</v>
      </c>
      <c r="E96" s="10"/>
      <c r="F96" s="9">
        <v>35.0</v>
      </c>
      <c r="G96" s="9">
        <v>35.0</v>
      </c>
      <c r="H96" s="10"/>
      <c r="I96" s="10"/>
    </row>
    <row r="97" ht="15.75" customHeight="1">
      <c r="A97" s="8" t="s">
        <v>45</v>
      </c>
      <c r="B97" s="9">
        <v>19.0</v>
      </c>
      <c r="C97" s="9">
        <v>14.0</v>
      </c>
      <c r="D97" s="9">
        <v>20.0</v>
      </c>
      <c r="E97" s="10"/>
      <c r="F97" s="9">
        <v>24.0</v>
      </c>
      <c r="G97" s="9">
        <v>24.0</v>
      </c>
      <c r="H97" s="10"/>
      <c r="I97" s="10"/>
    </row>
    <row r="98" ht="15.75" customHeight="1">
      <c r="A98" s="8" t="s">
        <v>46</v>
      </c>
      <c r="B98" s="9">
        <v>95.0</v>
      </c>
      <c r="C98" s="9">
        <v>220.0</v>
      </c>
      <c r="D98" s="9">
        <v>138.0</v>
      </c>
      <c r="E98" s="10"/>
      <c r="F98" s="9">
        <v>193.0</v>
      </c>
      <c r="G98" s="9">
        <v>237.0</v>
      </c>
      <c r="H98" s="10"/>
      <c r="I98" s="10"/>
    </row>
    <row r="99" ht="15.75" customHeight="1">
      <c r="A99" s="8" t="s">
        <v>47</v>
      </c>
      <c r="B99" s="9">
        <v>93.0</v>
      </c>
      <c r="C99" s="9">
        <v>180.0</v>
      </c>
      <c r="D99" s="9">
        <v>108.0</v>
      </c>
      <c r="E99" s="10"/>
      <c r="F99" s="9">
        <v>155.0</v>
      </c>
      <c r="G99" s="9">
        <v>182.0</v>
      </c>
      <c r="H99" s="10"/>
      <c r="I99" s="10"/>
    </row>
    <row r="100" ht="15.75" customHeight="1">
      <c r="A100" s="15" t="s">
        <v>49</v>
      </c>
      <c r="B100" s="16">
        <f>(B99)/(B98)</f>
        <v>0.9789473684</v>
      </c>
      <c r="C100" s="16">
        <v>0.818</v>
      </c>
      <c r="D100" s="16">
        <v>0.783</v>
      </c>
      <c r="E100" s="14"/>
      <c r="F100" s="16">
        <v>0.803108808290155</v>
      </c>
      <c r="G100" s="16">
        <v>0.768</v>
      </c>
      <c r="H100" s="10"/>
      <c r="I100" s="14"/>
    </row>
    <row r="101" ht="15.75" customHeight="1">
      <c r="A101" s="12" t="s">
        <v>48</v>
      </c>
      <c r="B101" s="13">
        <v>12.0</v>
      </c>
      <c r="C101" s="13">
        <v>8.0</v>
      </c>
      <c r="D101" s="13">
        <v>13.0</v>
      </c>
      <c r="E101" s="17"/>
      <c r="F101" s="13">
        <v>22.0</v>
      </c>
      <c r="G101" s="9">
        <v>20.0</v>
      </c>
      <c r="H101" s="14"/>
      <c r="I101" s="10"/>
    </row>
    <row r="102" ht="15.75" customHeight="1">
      <c r="A102" s="15" t="s">
        <v>50</v>
      </c>
      <c r="B102" s="36">
        <v>2.13</v>
      </c>
      <c r="C102" s="36">
        <v>2.92</v>
      </c>
      <c r="D102" s="36">
        <v>3.03</v>
      </c>
      <c r="E102" s="50"/>
      <c r="F102" s="36">
        <v>2.473</v>
      </c>
      <c r="G102" s="9">
        <v>3.26</v>
      </c>
      <c r="H102" s="10"/>
      <c r="I102" s="10"/>
    </row>
    <row r="103" ht="15.75" customHeight="1">
      <c r="A103" s="8" t="s">
        <v>51</v>
      </c>
      <c r="B103" s="9" t="s">
        <v>59</v>
      </c>
      <c r="C103" s="9" t="s">
        <v>52</v>
      </c>
      <c r="D103" s="9" t="s">
        <v>59</v>
      </c>
      <c r="E103" s="10"/>
      <c r="F103" s="9" t="s">
        <v>59</v>
      </c>
      <c r="G103" s="9" t="s">
        <v>59</v>
      </c>
      <c r="H103" s="10"/>
      <c r="I103" s="10"/>
    </row>
    <row r="104" ht="15.75" customHeight="1"/>
    <row r="105" ht="15.75" customHeight="1"/>
    <row r="106" ht="15.75" customHeight="1">
      <c r="A106" s="41" t="s">
        <v>104</v>
      </c>
      <c r="B106" s="2"/>
      <c r="C106" s="2"/>
      <c r="D106" s="55"/>
      <c r="E106" s="41" t="s">
        <v>105</v>
      </c>
      <c r="F106" s="2"/>
      <c r="G106" s="2"/>
      <c r="H106" s="2"/>
      <c r="I106" s="2"/>
    </row>
    <row r="107" ht="15.75" customHeight="1">
      <c r="B107" s="42" t="s">
        <v>0</v>
      </c>
      <c r="C107" s="42" t="s">
        <v>96</v>
      </c>
      <c r="D107" s="56" t="s">
        <v>61</v>
      </c>
      <c r="E107" s="57" t="s">
        <v>75</v>
      </c>
      <c r="F107" s="42" t="s">
        <v>83</v>
      </c>
      <c r="G107" s="42" t="s">
        <v>90</v>
      </c>
      <c r="H107" s="43" t="s">
        <v>93</v>
      </c>
      <c r="I107" s="43" t="s">
        <v>94</v>
      </c>
    </row>
    <row r="108" ht="15.75" customHeight="1">
      <c r="B108" s="45"/>
      <c r="C108" s="45"/>
      <c r="D108" s="58"/>
      <c r="E108" s="59"/>
      <c r="F108" s="45"/>
      <c r="G108" s="45"/>
      <c r="H108" s="45"/>
      <c r="I108" s="45"/>
    </row>
    <row r="109" ht="15.75" customHeight="1">
      <c r="A109" s="8" t="s">
        <v>44</v>
      </c>
      <c r="B109" s="9">
        <v>14.0</v>
      </c>
      <c r="C109" s="9">
        <v>16.0</v>
      </c>
      <c r="D109" s="60">
        <v>21.0</v>
      </c>
      <c r="E109" s="61"/>
      <c r="F109" s="9">
        <v>33.0</v>
      </c>
      <c r="G109" s="9">
        <v>31.0</v>
      </c>
      <c r="H109" s="10"/>
      <c r="I109" s="10"/>
    </row>
    <row r="110" ht="15.75" customHeight="1">
      <c r="A110" s="8" t="s">
        <v>45</v>
      </c>
      <c r="B110" s="9">
        <v>14.0</v>
      </c>
      <c r="C110" s="9">
        <v>8.0</v>
      </c>
      <c r="D110" s="60">
        <v>16.0</v>
      </c>
      <c r="E110" s="61"/>
      <c r="F110" s="9">
        <v>21.0</v>
      </c>
      <c r="G110" s="9">
        <v>17.0</v>
      </c>
      <c r="H110" s="10"/>
      <c r="I110" s="10"/>
    </row>
    <row r="111" ht="15.75" customHeight="1">
      <c r="A111" s="8" t="s">
        <v>46</v>
      </c>
      <c r="B111" s="9">
        <v>53.0</v>
      </c>
      <c r="C111" s="9">
        <v>134.0</v>
      </c>
      <c r="D111" s="60">
        <v>59.0</v>
      </c>
      <c r="E111" s="61"/>
      <c r="F111" s="9">
        <v>171.0</v>
      </c>
      <c r="G111" s="9">
        <v>218.0</v>
      </c>
      <c r="H111" s="10"/>
      <c r="I111" s="10"/>
    </row>
    <row r="112" ht="15.75" customHeight="1">
      <c r="A112" s="8" t="s">
        <v>47</v>
      </c>
      <c r="B112" s="9">
        <v>53.0</v>
      </c>
      <c r="C112" s="9">
        <v>94.0</v>
      </c>
      <c r="D112" s="60">
        <v>35.0</v>
      </c>
      <c r="E112" s="61"/>
      <c r="F112" s="9">
        <v>151.0</v>
      </c>
      <c r="G112" s="9">
        <v>172.0</v>
      </c>
      <c r="H112" s="10"/>
      <c r="I112" s="10"/>
    </row>
    <row r="113" ht="15.75" customHeight="1">
      <c r="A113" s="15" t="s">
        <v>49</v>
      </c>
      <c r="B113" s="16">
        <f>(B112)/(B111)</f>
        <v>1</v>
      </c>
      <c r="C113" s="16">
        <v>0.701</v>
      </c>
      <c r="D113" s="62">
        <v>0.593</v>
      </c>
      <c r="E113" s="63"/>
      <c r="F113" s="16">
        <v>0.883040935672515</v>
      </c>
      <c r="G113" s="16">
        <v>0.789</v>
      </c>
      <c r="H113" s="10"/>
      <c r="I113" s="14"/>
    </row>
    <row r="114" ht="15.75" customHeight="1">
      <c r="A114" s="12" t="s">
        <v>48</v>
      </c>
      <c r="B114" s="13">
        <v>8.0</v>
      </c>
      <c r="C114" s="13">
        <v>5.0</v>
      </c>
      <c r="D114" s="64">
        <v>11.0</v>
      </c>
      <c r="E114" s="65"/>
      <c r="F114" s="13">
        <v>17.0</v>
      </c>
      <c r="G114" s="13">
        <v>14.0</v>
      </c>
      <c r="H114" s="14"/>
      <c r="I114" s="10"/>
    </row>
    <row r="115" ht="15.75" customHeight="1">
      <c r="A115" s="15" t="s">
        <v>50</v>
      </c>
      <c r="B115" s="36">
        <v>3.34</v>
      </c>
      <c r="C115" s="36">
        <v>3.45</v>
      </c>
      <c r="D115" s="66">
        <v>3.29</v>
      </c>
      <c r="E115" s="67"/>
      <c r="F115" s="36">
        <v>3.104</v>
      </c>
      <c r="G115" s="9">
        <v>3.16</v>
      </c>
      <c r="H115" s="10"/>
      <c r="I115" s="10"/>
    </row>
    <row r="116" ht="15.75" customHeight="1">
      <c r="A116" s="8" t="s">
        <v>51</v>
      </c>
      <c r="B116" s="9" t="s">
        <v>52</v>
      </c>
      <c r="C116" s="9" t="s">
        <v>54</v>
      </c>
      <c r="D116" s="60" t="s">
        <v>52</v>
      </c>
      <c r="E116" s="61"/>
      <c r="F116" s="9" t="s">
        <v>59</v>
      </c>
      <c r="G116" s="9" t="s">
        <v>52</v>
      </c>
      <c r="H116" s="10"/>
      <c r="I116" s="10"/>
    </row>
    <row r="117" ht="15.75" customHeight="1"/>
    <row r="118" ht="15.75" customHeight="1"/>
    <row r="119" ht="15.75" customHeight="1">
      <c r="B119" s="41" t="s">
        <v>106</v>
      </c>
      <c r="C119" s="2"/>
      <c r="D119" s="2"/>
      <c r="E119" s="2"/>
      <c r="F119" s="2"/>
      <c r="G119" s="2"/>
      <c r="H119" s="2"/>
      <c r="I119" s="2"/>
    </row>
    <row r="120" ht="15.75" customHeight="1">
      <c r="B120" s="42" t="s">
        <v>0</v>
      </c>
      <c r="C120" s="43" t="s">
        <v>96</v>
      </c>
      <c r="D120" s="42" t="s">
        <v>61</v>
      </c>
      <c r="E120" s="42" t="s">
        <v>75</v>
      </c>
      <c r="F120" s="42" t="s">
        <v>83</v>
      </c>
      <c r="G120" s="42" t="s">
        <v>90</v>
      </c>
      <c r="H120" s="43" t="s">
        <v>93</v>
      </c>
      <c r="I120" s="44" t="s">
        <v>94</v>
      </c>
    </row>
    <row r="121" ht="15.75" customHeight="1">
      <c r="B121" s="45"/>
      <c r="C121" s="45"/>
      <c r="D121" s="45"/>
      <c r="E121" s="45"/>
      <c r="F121" s="45"/>
      <c r="G121" s="45"/>
      <c r="H121" s="45"/>
      <c r="I121" s="45"/>
    </row>
    <row r="122" ht="15.75" customHeight="1">
      <c r="A122" s="8" t="s">
        <v>44</v>
      </c>
      <c r="B122" s="9">
        <v>5.0</v>
      </c>
      <c r="C122" s="10"/>
      <c r="D122" s="9">
        <v>25.0</v>
      </c>
      <c r="E122" s="9">
        <v>29.0</v>
      </c>
      <c r="F122" s="9">
        <v>20.0</v>
      </c>
      <c r="G122" s="9">
        <v>31.0</v>
      </c>
      <c r="H122" s="10"/>
      <c r="I122" s="9">
        <v>18.0</v>
      </c>
    </row>
    <row r="123" ht="15.75" customHeight="1">
      <c r="A123" s="8" t="s">
        <v>45</v>
      </c>
      <c r="B123" s="9">
        <v>5.0</v>
      </c>
      <c r="C123" s="10"/>
      <c r="D123" s="9">
        <v>17.0</v>
      </c>
      <c r="E123" s="9">
        <v>18.0</v>
      </c>
      <c r="F123" s="9">
        <v>12.0</v>
      </c>
      <c r="G123" s="9">
        <v>18.0</v>
      </c>
      <c r="H123" s="10"/>
      <c r="I123" s="9">
        <v>12.0</v>
      </c>
    </row>
    <row r="124" ht="15.75" customHeight="1">
      <c r="A124" s="8" t="s">
        <v>46</v>
      </c>
      <c r="B124" s="9">
        <v>5.0</v>
      </c>
      <c r="C124" s="10"/>
      <c r="D124" s="9">
        <v>66.0</v>
      </c>
      <c r="E124" s="9">
        <v>77.0</v>
      </c>
      <c r="F124" s="9">
        <v>86.0</v>
      </c>
      <c r="G124" s="9">
        <v>129.0</v>
      </c>
      <c r="H124" s="10"/>
      <c r="I124" s="9">
        <v>54.0</v>
      </c>
    </row>
    <row r="125" ht="15.75" customHeight="1">
      <c r="A125" s="8" t="s">
        <v>47</v>
      </c>
      <c r="B125" s="9">
        <v>5.0</v>
      </c>
      <c r="C125" s="10"/>
      <c r="D125" s="9">
        <v>36.0</v>
      </c>
      <c r="E125" s="9">
        <v>62.0</v>
      </c>
      <c r="F125" s="9">
        <v>67.0</v>
      </c>
      <c r="G125" s="9">
        <v>75.0</v>
      </c>
      <c r="H125" s="10"/>
      <c r="I125" s="9">
        <v>45.0</v>
      </c>
    </row>
    <row r="126" ht="15.75" customHeight="1">
      <c r="A126" s="15" t="s">
        <v>49</v>
      </c>
      <c r="B126" s="16">
        <f>(B125)/(B124)</f>
        <v>1</v>
      </c>
      <c r="C126" s="14"/>
      <c r="D126" s="16">
        <v>0.545</v>
      </c>
      <c r="E126" s="16">
        <v>0.805</v>
      </c>
      <c r="F126" s="16">
        <v>0.779069767441861</v>
      </c>
      <c r="G126" s="16">
        <v>0.581</v>
      </c>
      <c r="H126" s="10"/>
      <c r="I126" s="16">
        <v>0.833</v>
      </c>
    </row>
    <row r="127" ht="15.75" customHeight="1">
      <c r="A127" s="12" t="s">
        <v>48</v>
      </c>
      <c r="B127" s="13">
        <v>5.0</v>
      </c>
      <c r="C127" s="17"/>
      <c r="D127" s="13">
        <v>10.0</v>
      </c>
      <c r="E127" s="13">
        <v>14.0</v>
      </c>
      <c r="F127" s="13">
        <v>9.0</v>
      </c>
      <c r="G127" s="13">
        <v>15.0</v>
      </c>
      <c r="H127" s="54"/>
      <c r="I127" s="13">
        <v>7.0</v>
      </c>
    </row>
    <row r="128" ht="15.75" customHeight="1">
      <c r="A128" s="15" t="s">
        <v>50</v>
      </c>
      <c r="B128" s="36">
        <v>1.5</v>
      </c>
      <c r="C128" s="50"/>
      <c r="D128" s="36">
        <v>4.05</v>
      </c>
      <c r="E128" s="36">
        <v>3.72</v>
      </c>
      <c r="F128" s="36">
        <v>3.587</v>
      </c>
      <c r="G128" s="36">
        <v>4.049</v>
      </c>
      <c r="H128" s="10"/>
      <c r="I128" s="9">
        <v>3.07</v>
      </c>
    </row>
    <row r="129" ht="15.75" customHeight="1">
      <c r="A129" s="8" t="s">
        <v>51</v>
      </c>
      <c r="B129" s="9" t="s">
        <v>54</v>
      </c>
      <c r="C129" s="10"/>
      <c r="D129" s="9" t="s">
        <v>52</v>
      </c>
      <c r="E129" s="9" t="s">
        <v>52</v>
      </c>
      <c r="F129" s="9" t="s">
        <v>52</v>
      </c>
      <c r="G129" s="9" t="s">
        <v>52</v>
      </c>
      <c r="H129" s="10"/>
      <c r="I129" s="9" t="s">
        <v>52</v>
      </c>
    </row>
    <row r="130" ht="15.75" customHeight="1"/>
    <row r="131" ht="15.75" customHeight="1"/>
    <row r="132" ht="15.75" customHeight="1">
      <c r="B132" s="41" t="s">
        <v>107</v>
      </c>
      <c r="C132" s="2"/>
      <c r="D132" s="2"/>
      <c r="E132" s="2"/>
      <c r="F132" s="2"/>
      <c r="G132" s="2"/>
      <c r="H132" s="2"/>
      <c r="I132" s="2"/>
    </row>
    <row r="133" ht="15.75" customHeight="1">
      <c r="B133" s="43" t="s">
        <v>0</v>
      </c>
      <c r="C133" s="43" t="s">
        <v>96</v>
      </c>
      <c r="D133" s="43" t="s">
        <v>61</v>
      </c>
      <c r="E133" s="43" t="s">
        <v>75</v>
      </c>
      <c r="F133" s="42" t="s">
        <v>83</v>
      </c>
      <c r="G133" s="42" t="s">
        <v>90</v>
      </c>
      <c r="H133" s="43" t="s">
        <v>93</v>
      </c>
      <c r="I133" s="51" t="s">
        <v>94</v>
      </c>
    </row>
    <row r="134" ht="15.75" customHeight="1">
      <c r="B134" s="45"/>
      <c r="C134" s="45"/>
      <c r="D134" s="45"/>
      <c r="E134" s="45"/>
      <c r="F134" s="45"/>
      <c r="G134" s="45"/>
      <c r="H134" s="45"/>
      <c r="I134" s="45"/>
    </row>
    <row r="135" ht="15.75" customHeight="1">
      <c r="A135" s="8" t="s">
        <v>44</v>
      </c>
      <c r="B135" s="10"/>
      <c r="C135" s="10"/>
      <c r="D135" s="10"/>
      <c r="E135" s="10"/>
      <c r="F135" s="9">
        <v>18.0</v>
      </c>
      <c r="G135" s="9">
        <v>27.0</v>
      </c>
      <c r="H135" s="10"/>
      <c r="I135" s="9">
        <v>18.0</v>
      </c>
    </row>
    <row r="136" ht="15.75" customHeight="1">
      <c r="A136" s="8" t="s">
        <v>45</v>
      </c>
      <c r="B136" s="10"/>
      <c r="C136" s="10"/>
      <c r="D136" s="10"/>
      <c r="E136" s="10"/>
      <c r="F136" s="9">
        <v>11.0</v>
      </c>
      <c r="G136" s="9">
        <v>16.0</v>
      </c>
      <c r="H136" s="10"/>
      <c r="I136" s="9">
        <v>12.0</v>
      </c>
    </row>
    <row r="137" ht="15.75" customHeight="1">
      <c r="A137" s="8" t="s">
        <v>46</v>
      </c>
      <c r="B137" s="10"/>
      <c r="C137" s="10"/>
      <c r="D137" s="10"/>
      <c r="E137" s="10"/>
      <c r="F137" s="9">
        <v>72.0</v>
      </c>
      <c r="G137" s="9">
        <v>148.0</v>
      </c>
      <c r="H137" s="10"/>
      <c r="I137" s="9">
        <v>75.0</v>
      </c>
    </row>
    <row r="138" ht="15.75" customHeight="1">
      <c r="A138" s="8" t="s">
        <v>47</v>
      </c>
      <c r="B138" s="10"/>
      <c r="C138" s="10"/>
      <c r="D138" s="10"/>
      <c r="E138" s="10"/>
      <c r="F138" s="9">
        <v>57.0</v>
      </c>
      <c r="G138" s="9">
        <v>122.0</v>
      </c>
      <c r="H138" s="10"/>
      <c r="I138" s="9">
        <v>65.0</v>
      </c>
    </row>
    <row r="139" ht="15.75" customHeight="1">
      <c r="A139" s="15" t="s">
        <v>49</v>
      </c>
      <c r="B139" s="14"/>
      <c r="C139" s="14"/>
      <c r="D139" s="14"/>
      <c r="E139" s="14"/>
      <c r="F139" s="16">
        <v>0.791666666666667</v>
      </c>
      <c r="G139" s="16">
        <v>0.824</v>
      </c>
      <c r="H139" s="10"/>
      <c r="I139" s="16">
        <v>0.867</v>
      </c>
    </row>
    <row r="140" ht="27.0" customHeight="1">
      <c r="A140" s="12" t="s">
        <v>48</v>
      </c>
      <c r="B140" s="17"/>
      <c r="C140" s="17"/>
      <c r="D140" s="17"/>
      <c r="E140" s="17"/>
      <c r="F140" s="13">
        <v>5.0</v>
      </c>
      <c r="G140" s="13">
        <v>8.0</v>
      </c>
      <c r="H140" s="54"/>
      <c r="I140" s="13">
        <v>5.0</v>
      </c>
    </row>
    <row r="141" ht="15.75" customHeight="1">
      <c r="A141" s="15" t="s">
        <v>50</v>
      </c>
      <c r="B141" s="50"/>
      <c r="C141" s="50"/>
      <c r="D141" s="50"/>
      <c r="E141" s="50"/>
      <c r="F141" s="36">
        <v>4.608</v>
      </c>
      <c r="G141" s="9">
        <v>4.08</v>
      </c>
      <c r="H141" s="10"/>
      <c r="I141" s="9">
        <v>3.98</v>
      </c>
    </row>
    <row r="142" ht="15.75" customHeight="1">
      <c r="A142" s="8" t="s">
        <v>51</v>
      </c>
      <c r="B142" s="10"/>
      <c r="C142" s="10"/>
      <c r="D142" s="10"/>
      <c r="E142" s="10"/>
      <c r="F142" s="9" t="s">
        <v>52</v>
      </c>
      <c r="G142" s="9" t="s">
        <v>59</v>
      </c>
      <c r="H142" s="10"/>
      <c r="I142" s="9" t="s">
        <v>52</v>
      </c>
    </row>
    <row r="143" ht="15.75" customHeight="1"/>
    <row r="144" ht="15.75" customHeight="1"/>
    <row r="145" ht="15.75" customHeight="1">
      <c r="B145" s="41" t="s">
        <v>108</v>
      </c>
      <c r="C145" s="2"/>
      <c r="D145" s="2"/>
      <c r="E145" s="2"/>
      <c r="F145" s="2"/>
      <c r="G145" s="2"/>
      <c r="H145" s="2"/>
      <c r="I145" s="2"/>
    </row>
    <row r="146" ht="15.75" customHeight="1">
      <c r="B146" s="43" t="s">
        <v>0</v>
      </c>
      <c r="C146" s="42" t="s">
        <v>96</v>
      </c>
      <c r="D146" s="42" t="s">
        <v>61</v>
      </c>
      <c r="E146" s="43" t="s">
        <v>75</v>
      </c>
      <c r="F146" s="43" t="s">
        <v>83</v>
      </c>
      <c r="G146" s="42" t="s">
        <v>90</v>
      </c>
      <c r="H146" s="43" t="s">
        <v>93</v>
      </c>
      <c r="I146" s="44" t="s">
        <v>94</v>
      </c>
    </row>
    <row r="147" ht="15.75" customHeight="1">
      <c r="B147" s="45"/>
      <c r="C147" s="45"/>
      <c r="D147" s="45"/>
      <c r="E147" s="45"/>
      <c r="F147" s="45"/>
      <c r="G147" s="45"/>
      <c r="H147" s="45"/>
      <c r="I147" s="45"/>
    </row>
    <row r="148" ht="15.75" customHeight="1">
      <c r="A148" s="8" t="s">
        <v>44</v>
      </c>
      <c r="B148" s="10"/>
      <c r="C148" s="13">
        <v>20.0</v>
      </c>
      <c r="D148" s="9">
        <v>23.0</v>
      </c>
      <c r="E148" s="10"/>
      <c r="F148" s="10"/>
      <c r="G148" s="9">
        <v>40.0</v>
      </c>
      <c r="H148" s="10"/>
      <c r="I148" s="9">
        <v>12.0</v>
      </c>
    </row>
    <row r="149" ht="15.75" customHeight="1">
      <c r="A149" s="8" t="s">
        <v>45</v>
      </c>
      <c r="B149" s="10"/>
      <c r="C149" s="13">
        <v>13.0</v>
      </c>
      <c r="D149" s="9">
        <v>17.0</v>
      </c>
      <c r="E149" s="10"/>
      <c r="F149" s="10"/>
      <c r="G149" s="9">
        <v>31.0</v>
      </c>
      <c r="H149" s="10"/>
      <c r="I149" s="9">
        <v>6.0</v>
      </c>
    </row>
    <row r="150" ht="15.75" customHeight="1">
      <c r="A150" s="8" t="s">
        <v>46</v>
      </c>
      <c r="B150" s="10"/>
      <c r="C150" s="13">
        <v>259.0</v>
      </c>
      <c r="D150" s="9">
        <v>55.0</v>
      </c>
      <c r="E150" s="10"/>
      <c r="F150" s="10"/>
      <c r="G150" s="9">
        <v>171.0</v>
      </c>
      <c r="H150" s="10"/>
      <c r="I150" s="9">
        <v>43.0</v>
      </c>
    </row>
    <row r="151" ht="15.75" customHeight="1">
      <c r="A151" s="8" t="s">
        <v>47</v>
      </c>
      <c r="B151" s="10"/>
      <c r="C151" s="13">
        <v>216.0</v>
      </c>
      <c r="D151" s="9">
        <v>40.0</v>
      </c>
      <c r="E151" s="10"/>
      <c r="F151" s="10"/>
      <c r="G151" s="9">
        <v>139.0</v>
      </c>
      <c r="H151" s="10"/>
      <c r="I151" s="9">
        <v>29.0</v>
      </c>
    </row>
    <row r="152" ht="15.75" customHeight="1">
      <c r="A152" s="15" t="s">
        <v>49</v>
      </c>
      <c r="B152" s="14"/>
      <c r="C152" s="68">
        <v>0.834</v>
      </c>
      <c r="D152" s="16">
        <v>0.727</v>
      </c>
      <c r="E152" s="17"/>
      <c r="F152" s="14"/>
      <c r="G152" s="16">
        <v>0.813</v>
      </c>
      <c r="H152" s="10"/>
      <c r="I152" s="16">
        <v>0.674</v>
      </c>
    </row>
    <row r="153" ht="15.75" customHeight="1">
      <c r="A153" s="12" t="s">
        <v>48</v>
      </c>
      <c r="B153" s="17"/>
      <c r="C153" s="13">
        <v>8.0</v>
      </c>
      <c r="D153" s="13">
        <v>14.0</v>
      </c>
      <c r="E153" s="14"/>
      <c r="F153" s="17"/>
      <c r="G153" s="13">
        <v>20.0</v>
      </c>
      <c r="H153" s="54"/>
      <c r="I153" s="13">
        <v>4.0</v>
      </c>
    </row>
    <row r="154" ht="15.75" customHeight="1">
      <c r="A154" s="15" t="s">
        <v>50</v>
      </c>
      <c r="B154" s="50"/>
      <c r="C154" s="13">
        <v>3.08</v>
      </c>
      <c r="D154" s="36">
        <v>2.77</v>
      </c>
      <c r="E154" s="50"/>
      <c r="F154" s="50"/>
      <c r="G154" s="36">
        <v>3.067</v>
      </c>
      <c r="H154" s="10"/>
      <c r="I154" s="9">
        <v>2.59</v>
      </c>
    </row>
    <row r="155" ht="15.75" customHeight="1">
      <c r="A155" s="8" t="s">
        <v>51</v>
      </c>
      <c r="B155" s="10"/>
      <c r="C155" s="13" t="s">
        <v>52</v>
      </c>
      <c r="D155" s="9" t="s">
        <v>52</v>
      </c>
      <c r="E155" s="10"/>
      <c r="F155" s="10"/>
      <c r="G155" s="9" t="s">
        <v>74</v>
      </c>
      <c r="H155" s="10"/>
      <c r="I155" s="9" t="s">
        <v>54</v>
      </c>
    </row>
    <row r="156" ht="15.75" customHeight="1"/>
    <row r="157" ht="15.75" customHeight="1"/>
    <row r="158" ht="15.75" customHeight="1">
      <c r="B158" s="41" t="s">
        <v>109</v>
      </c>
      <c r="C158" s="2"/>
      <c r="D158" s="2"/>
      <c r="E158" s="2"/>
      <c r="F158" s="2"/>
      <c r="G158" s="2"/>
      <c r="H158" s="2"/>
      <c r="I158" s="2"/>
    </row>
    <row r="159" ht="15.75" customHeight="1">
      <c r="B159" s="43" t="s">
        <v>0</v>
      </c>
      <c r="C159" s="43" t="s">
        <v>96</v>
      </c>
      <c r="D159" s="43" t="s">
        <v>61</v>
      </c>
      <c r="E159" s="43" t="s">
        <v>75</v>
      </c>
      <c r="F159" s="43" t="s">
        <v>83</v>
      </c>
      <c r="G159" s="42" t="s">
        <v>90</v>
      </c>
      <c r="H159" s="43" t="s">
        <v>93</v>
      </c>
      <c r="I159" s="51" t="s">
        <v>94</v>
      </c>
    </row>
    <row r="160" ht="15.75" customHeight="1">
      <c r="B160" s="45"/>
      <c r="C160" s="45"/>
      <c r="D160" s="45"/>
      <c r="E160" s="45"/>
      <c r="F160" s="45"/>
      <c r="G160" s="45"/>
      <c r="H160" s="45"/>
      <c r="I160" s="45"/>
    </row>
    <row r="161" ht="15.75" customHeight="1">
      <c r="A161" s="8" t="s">
        <v>44</v>
      </c>
      <c r="B161" s="10"/>
      <c r="C161" s="17"/>
      <c r="D161" s="10"/>
      <c r="E161" s="10"/>
      <c r="F161" s="10"/>
      <c r="G161" s="9">
        <v>36.0</v>
      </c>
      <c r="H161" s="10"/>
      <c r="I161" s="9">
        <v>31.0</v>
      </c>
    </row>
    <row r="162" ht="15.75" customHeight="1">
      <c r="A162" s="8" t="s">
        <v>45</v>
      </c>
      <c r="B162" s="10"/>
      <c r="C162" s="17"/>
      <c r="D162" s="10"/>
      <c r="E162" s="10"/>
      <c r="F162" s="10"/>
      <c r="G162" s="9">
        <v>25.0</v>
      </c>
      <c r="H162" s="10"/>
      <c r="I162" s="9">
        <v>23.0</v>
      </c>
    </row>
    <row r="163" ht="15.75" customHeight="1">
      <c r="A163" s="8" t="s">
        <v>46</v>
      </c>
      <c r="B163" s="10"/>
      <c r="C163" s="17"/>
      <c r="D163" s="10"/>
      <c r="E163" s="10"/>
      <c r="F163" s="10"/>
      <c r="G163" s="9">
        <v>121.0</v>
      </c>
      <c r="H163" s="10"/>
      <c r="I163" s="9">
        <v>93.0</v>
      </c>
    </row>
    <row r="164" ht="15.75" customHeight="1">
      <c r="A164" s="8" t="s">
        <v>47</v>
      </c>
      <c r="B164" s="10"/>
      <c r="C164" s="17"/>
      <c r="D164" s="10"/>
      <c r="E164" s="10"/>
      <c r="F164" s="10"/>
      <c r="G164" s="9">
        <v>88.0</v>
      </c>
      <c r="H164" s="10"/>
      <c r="I164" s="9">
        <v>79.0</v>
      </c>
    </row>
    <row r="165" ht="15.75" customHeight="1">
      <c r="A165" s="15" t="s">
        <v>49</v>
      </c>
      <c r="B165" s="14"/>
      <c r="C165" s="69"/>
      <c r="D165" s="17"/>
      <c r="E165" s="17"/>
      <c r="F165" s="14"/>
      <c r="G165" s="16">
        <v>0.727</v>
      </c>
      <c r="H165" s="10"/>
      <c r="I165" s="16">
        <v>0.849</v>
      </c>
    </row>
    <row r="166" ht="15.75" customHeight="1">
      <c r="A166" s="12" t="s">
        <v>48</v>
      </c>
      <c r="B166" s="17"/>
      <c r="C166" s="17"/>
      <c r="D166" s="14"/>
      <c r="E166" s="14"/>
      <c r="F166" s="17"/>
      <c r="G166" s="13">
        <v>20.0</v>
      </c>
      <c r="H166" s="54"/>
      <c r="I166" s="13">
        <v>13.0</v>
      </c>
    </row>
    <row r="167" ht="15.75" customHeight="1">
      <c r="A167" s="15" t="s">
        <v>50</v>
      </c>
      <c r="B167" s="50"/>
      <c r="C167" s="17"/>
      <c r="D167" s="50"/>
      <c r="E167" s="50"/>
      <c r="F167" s="50"/>
      <c r="G167" s="36">
        <v>2.792</v>
      </c>
      <c r="H167" s="10"/>
      <c r="I167" s="36">
        <v>2.7</v>
      </c>
    </row>
    <row r="168" ht="15.75" customHeight="1">
      <c r="A168" s="8" t="s">
        <v>51</v>
      </c>
      <c r="B168" s="10"/>
      <c r="C168" s="17"/>
      <c r="D168" s="10"/>
      <c r="E168" s="10"/>
      <c r="F168" s="10"/>
      <c r="G168" s="9" t="s">
        <v>74</v>
      </c>
      <c r="H168" s="10"/>
      <c r="I168" s="9" t="s">
        <v>74</v>
      </c>
    </row>
    <row r="169" ht="15.75" customHeight="1"/>
    <row r="170" ht="15.75" customHeight="1"/>
    <row r="171" ht="15.75" customHeight="1">
      <c r="B171" s="41" t="s">
        <v>110</v>
      </c>
      <c r="C171" s="2"/>
      <c r="D171" s="2"/>
      <c r="E171" s="2"/>
      <c r="F171" s="2"/>
      <c r="G171" s="2"/>
      <c r="H171" s="2"/>
      <c r="I171" s="2"/>
    </row>
    <row r="172" ht="15.75" customHeight="1">
      <c r="B172" s="43" t="s">
        <v>0</v>
      </c>
      <c r="C172" s="42" t="s">
        <v>96</v>
      </c>
      <c r="D172" s="42" t="s">
        <v>61</v>
      </c>
      <c r="E172" s="43" t="s">
        <v>75</v>
      </c>
      <c r="F172" s="43" t="s">
        <v>83</v>
      </c>
      <c r="G172" s="42" t="s">
        <v>90</v>
      </c>
      <c r="H172" s="42" t="s">
        <v>93</v>
      </c>
      <c r="I172" s="44" t="s">
        <v>94</v>
      </c>
    </row>
    <row r="173" ht="15.75" customHeight="1">
      <c r="B173" s="45"/>
      <c r="C173" s="45"/>
      <c r="D173" s="45"/>
      <c r="E173" s="45"/>
      <c r="F173" s="45"/>
      <c r="G173" s="45"/>
      <c r="H173" s="45"/>
      <c r="I173" s="45"/>
    </row>
    <row r="174" ht="15.75" customHeight="1">
      <c r="A174" s="8" t="s">
        <v>44</v>
      </c>
      <c r="B174" s="10"/>
      <c r="C174" s="13">
        <v>13.0</v>
      </c>
      <c r="D174" s="9">
        <v>26.0</v>
      </c>
      <c r="E174" s="10"/>
      <c r="F174" s="10"/>
      <c r="G174" s="9">
        <v>33.0</v>
      </c>
      <c r="H174" s="9">
        <v>18.0</v>
      </c>
      <c r="I174" s="9">
        <v>17.0</v>
      </c>
    </row>
    <row r="175" ht="15.75" customHeight="1">
      <c r="A175" s="8" t="s">
        <v>45</v>
      </c>
      <c r="B175" s="10"/>
      <c r="C175" s="13">
        <v>8.0</v>
      </c>
      <c r="D175" s="9">
        <v>21.0</v>
      </c>
      <c r="E175" s="10"/>
      <c r="F175" s="10"/>
      <c r="G175" s="9">
        <v>25.0</v>
      </c>
      <c r="H175" s="9">
        <v>13.0</v>
      </c>
      <c r="I175" s="9">
        <v>10.0</v>
      </c>
    </row>
    <row r="176" ht="15.75" customHeight="1">
      <c r="A176" s="8" t="s">
        <v>46</v>
      </c>
      <c r="B176" s="10"/>
      <c r="C176" s="13">
        <v>210.0</v>
      </c>
      <c r="D176" s="9">
        <v>116.0</v>
      </c>
      <c r="E176" s="10"/>
      <c r="F176" s="10"/>
      <c r="G176" s="9">
        <v>181.0</v>
      </c>
      <c r="H176" s="9">
        <v>88.0</v>
      </c>
      <c r="I176" s="9">
        <v>53.0</v>
      </c>
    </row>
    <row r="177" ht="15.75" customHeight="1">
      <c r="A177" s="8" t="s">
        <v>47</v>
      </c>
      <c r="B177" s="10"/>
      <c r="C177" s="13">
        <v>164.0</v>
      </c>
      <c r="D177" s="9">
        <v>108.0</v>
      </c>
      <c r="E177" s="10"/>
      <c r="F177" s="10"/>
      <c r="G177" s="9">
        <v>130.0</v>
      </c>
      <c r="H177" s="9">
        <v>70.0</v>
      </c>
      <c r="I177" s="9">
        <v>37.0</v>
      </c>
    </row>
    <row r="178" ht="15.75" customHeight="1">
      <c r="A178" s="15" t="s">
        <v>49</v>
      </c>
      <c r="B178" s="14"/>
      <c r="C178" s="68">
        <v>0.781</v>
      </c>
      <c r="D178" s="16">
        <v>0.931</v>
      </c>
      <c r="E178" s="14"/>
      <c r="F178" s="17"/>
      <c r="G178" s="16">
        <v>0.718</v>
      </c>
      <c r="H178" s="16">
        <v>0.795</v>
      </c>
      <c r="I178" s="16">
        <v>0.698</v>
      </c>
    </row>
    <row r="179" ht="15.75" customHeight="1">
      <c r="A179" s="12" t="s">
        <v>48</v>
      </c>
      <c r="B179" s="17"/>
      <c r="C179" s="13">
        <v>4.0</v>
      </c>
      <c r="D179" s="49">
        <v>11.0</v>
      </c>
      <c r="E179" s="17"/>
      <c r="F179" s="14"/>
      <c r="G179" s="13">
        <v>18.0</v>
      </c>
      <c r="H179" s="13">
        <v>6.0</v>
      </c>
      <c r="I179" s="13">
        <v>5.0</v>
      </c>
    </row>
    <row r="180" ht="15.75" customHeight="1">
      <c r="A180" s="15" t="s">
        <v>50</v>
      </c>
      <c r="B180" s="50"/>
      <c r="C180" s="13">
        <v>3.92</v>
      </c>
      <c r="D180" s="9">
        <v>2.84</v>
      </c>
      <c r="E180" s="50"/>
      <c r="F180" s="50"/>
      <c r="G180" s="9">
        <v>4.95</v>
      </c>
      <c r="H180" s="9">
        <v>4.69</v>
      </c>
      <c r="I180" s="9">
        <v>4.01</v>
      </c>
    </row>
    <row r="181" ht="15.75" customHeight="1">
      <c r="A181" s="8" t="s">
        <v>51</v>
      </c>
      <c r="B181" s="10"/>
      <c r="C181" s="13" t="s">
        <v>54</v>
      </c>
      <c r="D181" s="9" t="s">
        <v>59</v>
      </c>
      <c r="E181" s="10"/>
      <c r="F181" s="10"/>
      <c r="G181" s="9" t="s">
        <v>59</v>
      </c>
      <c r="H181" s="9" t="s">
        <v>52</v>
      </c>
      <c r="I181" s="9" t="s">
        <v>54</v>
      </c>
    </row>
    <row r="182" ht="15.75" customHeight="1"/>
    <row r="183" ht="15.75" customHeight="1"/>
    <row r="184" ht="15.75" customHeight="1">
      <c r="B184" s="41" t="s">
        <v>111</v>
      </c>
      <c r="C184" s="2"/>
      <c r="D184" s="2"/>
      <c r="E184" s="2"/>
      <c r="F184" s="2"/>
      <c r="G184" s="2"/>
      <c r="H184" s="2"/>
      <c r="I184" s="2"/>
    </row>
    <row r="185" ht="15.75" customHeight="1">
      <c r="B185" s="43" t="s">
        <v>0</v>
      </c>
      <c r="C185" s="43" t="s">
        <v>96</v>
      </c>
      <c r="D185" s="42" t="s">
        <v>61</v>
      </c>
      <c r="E185" s="43" t="s">
        <v>75</v>
      </c>
      <c r="F185" s="43" t="s">
        <v>83</v>
      </c>
      <c r="G185" s="42" t="s">
        <v>90</v>
      </c>
      <c r="H185" s="42" t="s">
        <v>93</v>
      </c>
      <c r="I185" s="44" t="s">
        <v>94</v>
      </c>
    </row>
    <row r="186" ht="15.75" customHeight="1">
      <c r="B186" s="45"/>
      <c r="C186" s="45"/>
      <c r="D186" s="45"/>
      <c r="E186" s="45"/>
      <c r="F186" s="45"/>
      <c r="G186" s="45"/>
      <c r="H186" s="45"/>
      <c r="I186" s="45"/>
    </row>
    <row r="187" ht="15.75" customHeight="1">
      <c r="A187" s="8" t="s">
        <v>44</v>
      </c>
      <c r="B187" s="10"/>
      <c r="C187" s="17"/>
      <c r="D187" s="9">
        <v>32.0</v>
      </c>
      <c r="E187" s="10"/>
      <c r="F187" s="10"/>
      <c r="G187" s="9">
        <v>31.0</v>
      </c>
      <c r="H187" s="9">
        <v>28.0</v>
      </c>
      <c r="I187" s="9">
        <v>21.0</v>
      </c>
    </row>
    <row r="188" ht="15.75" customHeight="1">
      <c r="A188" s="8" t="s">
        <v>45</v>
      </c>
      <c r="B188" s="10"/>
      <c r="C188" s="17"/>
      <c r="D188" s="9">
        <v>25.0</v>
      </c>
      <c r="E188" s="10"/>
      <c r="F188" s="10"/>
      <c r="G188" s="9">
        <v>23.0</v>
      </c>
      <c r="H188" s="9">
        <v>20.0</v>
      </c>
      <c r="I188" s="9">
        <v>15.0</v>
      </c>
    </row>
    <row r="189" ht="15.75" customHeight="1">
      <c r="A189" s="8" t="s">
        <v>46</v>
      </c>
      <c r="B189" s="10"/>
      <c r="C189" s="17"/>
      <c r="D189" s="9">
        <v>96.0</v>
      </c>
      <c r="E189" s="10"/>
      <c r="F189" s="10"/>
      <c r="G189" s="9">
        <v>137.0</v>
      </c>
      <c r="H189" s="9">
        <v>85.0</v>
      </c>
      <c r="I189" s="9">
        <v>94.0</v>
      </c>
    </row>
    <row r="190" ht="15.75" customHeight="1">
      <c r="A190" s="8" t="s">
        <v>47</v>
      </c>
      <c r="B190" s="10"/>
      <c r="C190" s="17"/>
      <c r="D190" s="9">
        <v>81.0</v>
      </c>
      <c r="E190" s="10"/>
      <c r="F190" s="10"/>
      <c r="G190" s="9">
        <v>95.0</v>
      </c>
      <c r="H190" s="9">
        <v>69.0</v>
      </c>
      <c r="I190" s="9">
        <v>72.0</v>
      </c>
    </row>
    <row r="191" ht="15.75" customHeight="1">
      <c r="A191" s="15" t="s">
        <v>49</v>
      </c>
      <c r="B191" s="14"/>
      <c r="C191" s="69"/>
      <c r="D191" s="16">
        <v>0.844</v>
      </c>
      <c r="E191" s="14"/>
      <c r="F191" s="17"/>
      <c r="G191" s="16">
        <v>0.693</v>
      </c>
      <c r="H191" s="16">
        <v>0.812</v>
      </c>
      <c r="I191" s="16">
        <v>0.766</v>
      </c>
    </row>
    <row r="192" ht="15.75" customHeight="1">
      <c r="A192" s="12" t="s">
        <v>48</v>
      </c>
      <c r="B192" s="17"/>
      <c r="C192" s="17"/>
      <c r="D192" s="49">
        <v>15.0</v>
      </c>
      <c r="E192" s="17"/>
      <c r="F192" s="14"/>
      <c r="G192" s="13">
        <v>16.0</v>
      </c>
      <c r="H192" s="13">
        <v>11.0</v>
      </c>
      <c r="I192" s="13">
        <v>13.0</v>
      </c>
    </row>
    <row r="193" ht="15.75" customHeight="1">
      <c r="A193" s="15" t="s">
        <v>50</v>
      </c>
      <c r="B193" s="50"/>
      <c r="C193" s="17"/>
      <c r="D193" s="9">
        <v>2.62</v>
      </c>
      <c r="E193" s="50"/>
      <c r="F193" s="50"/>
      <c r="G193" s="36">
        <v>3.328</v>
      </c>
      <c r="H193" s="9">
        <v>3.42</v>
      </c>
      <c r="I193" s="9">
        <v>2.21</v>
      </c>
    </row>
    <row r="194" ht="15.75" customHeight="1">
      <c r="A194" s="8" t="s">
        <v>51</v>
      </c>
      <c r="B194" s="10"/>
      <c r="C194" s="17"/>
      <c r="D194" s="9" t="s">
        <v>59</v>
      </c>
      <c r="E194" s="10"/>
      <c r="F194" s="10"/>
      <c r="G194" s="9" t="s">
        <v>59</v>
      </c>
      <c r="H194" s="9" t="s">
        <v>74</v>
      </c>
      <c r="I194" s="9" t="s">
        <v>52</v>
      </c>
    </row>
    <row r="195" ht="15.75" customHeight="1"/>
    <row r="196" ht="15.75" customHeight="1"/>
    <row r="197" ht="15.75" customHeight="1">
      <c r="B197" s="41" t="s">
        <v>112</v>
      </c>
      <c r="C197" s="2"/>
      <c r="D197" s="2"/>
      <c r="E197" s="2"/>
      <c r="F197" s="2"/>
      <c r="G197" s="2"/>
      <c r="H197" s="2"/>
      <c r="I197" s="2"/>
    </row>
    <row r="198" ht="15.75" customHeight="1">
      <c r="B198" s="43" t="s">
        <v>0</v>
      </c>
      <c r="C198" s="42" t="s">
        <v>96</v>
      </c>
      <c r="D198" s="42" t="s">
        <v>61</v>
      </c>
      <c r="E198" s="43" t="s">
        <v>75</v>
      </c>
      <c r="F198" s="43" t="s">
        <v>83</v>
      </c>
      <c r="G198" s="42" t="s">
        <v>90</v>
      </c>
      <c r="H198" s="43" t="s">
        <v>93</v>
      </c>
      <c r="I198" s="51" t="s">
        <v>94</v>
      </c>
    </row>
    <row r="199" ht="15.75" customHeight="1">
      <c r="B199" s="45"/>
      <c r="C199" s="45"/>
      <c r="D199" s="45"/>
      <c r="E199" s="45"/>
      <c r="F199" s="45"/>
      <c r="G199" s="45"/>
      <c r="H199" s="45"/>
      <c r="I199" s="45"/>
    </row>
    <row r="200" ht="15.75" customHeight="1">
      <c r="A200" s="8" t="s">
        <v>44</v>
      </c>
      <c r="B200" s="10"/>
      <c r="C200" s="13">
        <v>19.0</v>
      </c>
      <c r="D200" s="9">
        <v>23.0</v>
      </c>
      <c r="E200" s="10"/>
      <c r="F200" s="10"/>
      <c r="G200" s="9">
        <v>45.0</v>
      </c>
      <c r="H200" s="10"/>
      <c r="I200" s="9">
        <v>23.0</v>
      </c>
    </row>
    <row r="201" ht="15.75" customHeight="1">
      <c r="A201" s="8" t="s">
        <v>45</v>
      </c>
      <c r="B201" s="10"/>
      <c r="C201" s="13">
        <v>12.0</v>
      </c>
      <c r="D201" s="9">
        <v>18.0</v>
      </c>
      <c r="E201" s="10"/>
      <c r="F201" s="10"/>
      <c r="G201" s="9">
        <v>31.0</v>
      </c>
      <c r="H201" s="10"/>
      <c r="I201" s="9">
        <v>19.0</v>
      </c>
    </row>
    <row r="202" ht="15.75" customHeight="1">
      <c r="A202" s="8" t="s">
        <v>46</v>
      </c>
      <c r="B202" s="10"/>
      <c r="C202" s="13">
        <v>243.0</v>
      </c>
      <c r="D202" s="9">
        <v>72.0</v>
      </c>
      <c r="E202" s="10"/>
      <c r="F202" s="10"/>
      <c r="G202" s="9">
        <v>200.0</v>
      </c>
      <c r="H202" s="10"/>
      <c r="I202" s="9">
        <v>120.0</v>
      </c>
    </row>
    <row r="203" ht="15.75" customHeight="1">
      <c r="A203" s="8" t="s">
        <v>47</v>
      </c>
      <c r="B203" s="10"/>
      <c r="C203" s="13">
        <v>196.0</v>
      </c>
      <c r="D203" s="9">
        <v>64.0</v>
      </c>
      <c r="E203" s="10"/>
      <c r="F203" s="10"/>
      <c r="G203" s="9">
        <v>157.0</v>
      </c>
      <c r="H203" s="10"/>
      <c r="I203" s="9">
        <v>98.0</v>
      </c>
    </row>
    <row r="204" ht="15.75" customHeight="1">
      <c r="A204" s="15" t="s">
        <v>49</v>
      </c>
      <c r="B204" s="14"/>
      <c r="C204" s="68">
        <v>0.807</v>
      </c>
      <c r="D204" s="16">
        <v>0.889</v>
      </c>
      <c r="E204" s="17"/>
      <c r="F204" s="14"/>
      <c r="G204" s="16">
        <v>0.785</v>
      </c>
      <c r="H204" s="14"/>
      <c r="I204" s="16">
        <v>0.817</v>
      </c>
    </row>
    <row r="205" ht="15.75" customHeight="1">
      <c r="A205" s="12" t="s">
        <v>48</v>
      </c>
      <c r="B205" s="17"/>
      <c r="C205" s="13">
        <v>8.0</v>
      </c>
      <c r="D205" s="13">
        <v>12.0</v>
      </c>
      <c r="E205" s="54"/>
      <c r="F205" s="17"/>
      <c r="G205" s="13">
        <v>24.0</v>
      </c>
      <c r="H205" s="17"/>
      <c r="I205" s="13">
        <v>15.0</v>
      </c>
    </row>
    <row r="206" ht="15.75" customHeight="1">
      <c r="A206" s="15" t="s">
        <v>50</v>
      </c>
      <c r="B206" s="50"/>
      <c r="C206" s="13">
        <v>2.81</v>
      </c>
      <c r="D206" s="36">
        <v>2.8</v>
      </c>
      <c r="E206" s="50"/>
      <c r="F206" s="50"/>
      <c r="G206" s="36">
        <v>2.1</v>
      </c>
      <c r="H206" s="10"/>
      <c r="I206" s="9">
        <v>2.03</v>
      </c>
    </row>
    <row r="207" ht="15.75" customHeight="1">
      <c r="A207" s="8" t="s">
        <v>51</v>
      </c>
      <c r="B207" s="10"/>
      <c r="C207" s="13" t="s">
        <v>52</v>
      </c>
      <c r="D207" s="9" t="s">
        <v>52</v>
      </c>
      <c r="E207" s="10"/>
      <c r="F207" s="10"/>
      <c r="G207" s="9" t="s">
        <v>74</v>
      </c>
      <c r="H207" s="10"/>
      <c r="I207" s="9" t="s">
        <v>59</v>
      </c>
    </row>
    <row r="208" ht="15.75" customHeight="1"/>
    <row r="209" ht="15.75" customHeight="1"/>
    <row r="210" ht="15.75" customHeight="1">
      <c r="B210" s="41" t="s">
        <v>113</v>
      </c>
      <c r="C210" s="2"/>
      <c r="D210" s="2"/>
      <c r="E210" s="2"/>
      <c r="F210" s="2"/>
      <c r="G210" s="2"/>
      <c r="H210" s="2"/>
      <c r="I210" s="2"/>
    </row>
    <row r="211" ht="15.75" customHeight="1">
      <c r="B211" s="43" t="s">
        <v>0</v>
      </c>
      <c r="C211" s="42" t="s">
        <v>96</v>
      </c>
      <c r="D211" s="42" t="s">
        <v>61</v>
      </c>
      <c r="E211" s="43" t="s">
        <v>75</v>
      </c>
      <c r="F211" s="43" t="s">
        <v>83</v>
      </c>
      <c r="G211" s="42" t="s">
        <v>90</v>
      </c>
      <c r="H211" s="43" t="s">
        <v>93</v>
      </c>
      <c r="I211" s="44" t="s">
        <v>94</v>
      </c>
    </row>
    <row r="212" ht="15.75" customHeight="1">
      <c r="B212" s="45"/>
      <c r="C212" s="45"/>
      <c r="D212" s="45"/>
      <c r="E212" s="45"/>
      <c r="F212" s="45"/>
      <c r="G212" s="45"/>
      <c r="H212" s="45"/>
      <c r="I212" s="45"/>
    </row>
    <row r="213" ht="15.75" customHeight="1">
      <c r="A213" s="8" t="s">
        <v>44</v>
      </c>
      <c r="B213" s="10"/>
      <c r="C213" s="13">
        <v>20.0</v>
      </c>
      <c r="D213" s="9">
        <v>28.0</v>
      </c>
      <c r="E213" s="10"/>
      <c r="F213" s="10"/>
      <c r="G213" s="9">
        <v>43.0</v>
      </c>
      <c r="H213" s="10"/>
      <c r="I213" s="9">
        <v>13.0</v>
      </c>
    </row>
    <row r="214" ht="15.75" customHeight="1">
      <c r="A214" s="8" t="s">
        <v>45</v>
      </c>
      <c r="B214" s="10"/>
      <c r="C214" s="13">
        <v>11.0</v>
      </c>
      <c r="D214" s="9">
        <v>21.0</v>
      </c>
      <c r="E214" s="10"/>
      <c r="F214" s="10"/>
      <c r="G214" s="9">
        <v>32.0</v>
      </c>
      <c r="H214" s="10"/>
      <c r="I214" s="9">
        <v>8.0</v>
      </c>
    </row>
    <row r="215" ht="15.75" customHeight="1">
      <c r="A215" s="8" t="s">
        <v>46</v>
      </c>
      <c r="B215" s="10"/>
      <c r="C215" s="13">
        <v>152.0</v>
      </c>
      <c r="D215" s="9">
        <v>90.0</v>
      </c>
      <c r="E215" s="10"/>
      <c r="F215" s="10"/>
      <c r="G215" s="9">
        <v>226.0</v>
      </c>
      <c r="H215" s="10"/>
      <c r="I215" s="9">
        <v>62.0</v>
      </c>
    </row>
    <row r="216" ht="15.75" customHeight="1">
      <c r="A216" s="8" t="s">
        <v>47</v>
      </c>
      <c r="B216" s="10"/>
      <c r="C216" s="13">
        <v>130.0</v>
      </c>
      <c r="D216" s="9">
        <v>76.0</v>
      </c>
      <c r="E216" s="10"/>
      <c r="F216" s="10"/>
      <c r="G216" s="9">
        <v>196.0</v>
      </c>
      <c r="H216" s="10"/>
      <c r="I216" s="9">
        <v>18.0</v>
      </c>
    </row>
    <row r="217" ht="15.75" customHeight="1">
      <c r="A217" s="15" t="s">
        <v>49</v>
      </c>
      <c r="B217" s="14"/>
      <c r="C217" s="68">
        <v>0.855</v>
      </c>
      <c r="D217" s="68">
        <v>0.844</v>
      </c>
      <c r="E217" s="17"/>
      <c r="F217" s="54"/>
      <c r="G217" s="68">
        <v>0.867</v>
      </c>
      <c r="H217" s="54"/>
      <c r="I217" s="68">
        <v>0.29</v>
      </c>
    </row>
    <row r="218" ht="15.75" customHeight="1">
      <c r="A218" s="12" t="s">
        <v>48</v>
      </c>
      <c r="B218" s="17"/>
      <c r="C218" s="13">
        <v>6.0</v>
      </c>
      <c r="D218" s="13">
        <v>15.0</v>
      </c>
      <c r="E218" s="54"/>
      <c r="F218" s="17"/>
      <c r="G218" s="13">
        <v>24.0</v>
      </c>
      <c r="H218" s="17"/>
      <c r="I218" s="13">
        <v>4.0</v>
      </c>
    </row>
    <row r="219" ht="15.75" customHeight="1">
      <c r="A219" s="15" t="s">
        <v>50</v>
      </c>
      <c r="B219" s="50"/>
      <c r="C219" s="13">
        <v>2.31</v>
      </c>
      <c r="D219" s="9">
        <v>3.48</v>
      </c>
      <c r="E219" s="50"/>
      <c r="F219" s="50"/>
      <c r="G219" s="9">
        <v>2.33</v>
      </c>
      <c r="H219" s="10"/>
      <c r="I219" s="9">
        <v>3.56</v>
      </c>
    </row>
    <row r="220" ht="15.75" customHeight="1">
      <c r="A220" s="8" t="s">
        <v>51</v>
      </c>
      <c r="B220" s="10"/>
      <c r="C220" s="13" t="s">
        <v>59</v>
      </c>
      <c r="D220" s="9" t="s">
        <v>59</v>
      </c>
      <c r="E220" s="10"/>
      <c r="F220" s="10"/>
      <c r="G220" s="9" t="s">
        <v>74</v>
      </c>
      <c r="H220" s="10"/>
      <c r="I220" s="9" t="s">
        <v>54</v>
      </c>
    </row>
    <row r="221" ht="15.75" customHeight="1"/>
    <row r="222" ht="15.75" customHeight="1"/>
    <row r="223" ht="15.75" customHeight="1">
      <c r="B223" s="41" t="s">
        <v>114</v>
      </c>
      <c r="C223" s="2"/>
      <c r="D223" s="55"/>
      <c r="E223" s="41" t="s">
        <v>115</v>
      </c>
      <c r="F223" s="2"/>
      <c r="G223" s="2"/>
      <c r="H223" s="2"/>
      <c r="I223" s="2"/>
    </row>
    <row r="224" ht="15.75" customHeight="1">
      <c r="B224" s="43" t="s">
        <v>0</v>
      </c>
      <c r="C224" s="43" t="s">
        <v>96</v>
      </c>
      <c r="D224" s="56" t="s">
        <v>61</v>
      </c>
      <c r="E224" s="70" t="s">
        <v>75</v>
      </c>
      <c r="F224" s="43" t="s">
        <v>83</v>
      </c>
      <c r="G224" s="42" t="s">
        <v>90</v>
      </c>
      <c r="H224" s="43" t="s">
        <v>93</v>
      </c>
      <c r="I224" s="43" t="s">
        <v>94</v>
      </c>
    </row>
    <row r="225" ht="15.75" customHeight="1">
      <c r="B225" s="45"/>
      <c r="C225" s="45"/>
      <c r="D225" s="58"/>
      <c r="E225" s="71"/>
      <c r="F225" s="45"/>
      <c r="G225" s="45"/>
      <c r="H225" s="45"/>
      <c r="I225" s="45"/>
    </row>
    <row r="226" ht="15.75" customHeight="1">
      <c r="A226" s="8" t="s">
        <v>44</v>
      </c>
      <c r="B226" s="10"/>
      <c r="C226" s="17"/>
      <c r="D226" s="60">
        <v>14.0</v>
      </c>
      <c r="E226" s="72">
        <v>14.0</v>
      </c>
      <c r="F226" s="10"/>
      <c r="G226" s="9">
        <v>25.0</v>
      </c>
      <c r="H226" s="10"/>
      <c r="I226" s="10"/>
    </row>
    <row r="227" ht="15.75" customHeight="1">
      <c r="A227" s="8" t="s">
        <v>45</v>
      </c>
      <c r="B227" s="10"/>
      <c r="C227" s="17"/>
      <c r="D227" s="60">
        <v>6.0</v>
      </c>
      <c r="E227" s="72">
        <v>8.0</v>
      </c>
      <c r="F227" s="10"/>
      <c r="G227" s="9">
        <v>16.0</v>
      </c>
      <c r="H227" s="10"/>
      <c r="I227" s="10"/>
    </row>
    <row r="228" ht="15.75" customHeight="1">
      <c r="A228" s="8" t="s">
        <v>46</v>
      </c>
      <c r="B228" s="10"/>
      <c r="C228" s="17"/>
      <c r="D228" s="60">
        <v>57.0</v>
      </c>
      <c r="E228" s="72">
        <v>31.0</v>
      </c>
      <c r="F228" s="10"/>
      <c r="G228" s="9">
        <v>130.0</v>
      </c>
      <c r="H228" s="10"/>
      <c r="I228" s="10"/>
    </row>
    <row r="229" ht="15.75" customHeight="1">
      <c r="A229" s="8" t="s">
        <v>47</v>
      </c>
      <c r="B229" s="10"/>
      <c r="C229" s="17"/>
      <c r="D229" s="60">
        <v>36.0</v>
      </c>
      <c r="E229" s="72">
        <v>15.0</v>
      </c>
      <c r="F229" s="10"/>
      <c r="G229" s="9">
        <v>84.0</v>
      </c>
      <c r="H229" s="10"/>
      <c r="I229" s="10"/>
    </row>
    <row r="230" ht="15.75" customHeight="1">
      <c r="A230" s="15" t="s">
        <v>49</v>
      </c>
      <c r="B230" s="14"/>
      <c r="C230" s="69"/>
      <c r="D230" s="73">
        <v>0.632</v>
      </c>
      <c r="E230" s="74">
        <v>0.484</v>
      </c>
      <c r="F230" s="14"/>
      <c r="G230" s="16">
        <v>0.646</v>
      </c>
      <c r="H230" s="17"/>
      <c r="I230" s="17"/>
    </row>
    <row r="231" ht="15.75" customHeight="1">
      <c r="A231" s="12" t="s">
        <v>48</v>
      </c>
      <c r="B231" s="17"/>
      <c r="C231" s="17"/>
      <c r="D231" s="64">
        <v>3.0</v>
      </c>
      <c r="E231" s="75">
        <v>4.0</v>
      </c>
      <c r="F231" s="17"/>
      <c r="G231" s="13">
        <v>8.0</v>
      </c>
      <c r="H231" s="17"/>
      <c r="I231" s="17"/>
    </row>
    <row r="232" ht="15.75" customHeight="1">
      <c r="A232" s="15" t="s">
        <v>50</v>
      </c>
      <c r="B232" s="50"/>
      <c r="C232" s="17"/>
      <c r="D232" s="60">
        <v>5.09</v>
      </c>
      <c r="E232" s="72">
        <v>3.44</v>
      </c>
      <c r="F232" s="50"/>
      <c r="G232" s="9">
        <v>4.24</v>
      </c>
      <c r="H232" s="10"/>
      <c r="I232" s="10"/>
    </row>
    <row r="233" ht="15.75" customHeight="1">
      <c r="A233" s="8" t="s">
        <v>51</v>
      </c>
      <c r="B233" s="10"/>
      <c r="C233" s="17"/>
      <c r="D233" s="60" t="s">
        <v>54</v>
      </c>
      <c r="E233" s="72" t="s">
        <v>54</v>
      </c>
      <c r="F233" s="10"/>
      <c r="G233" s="9" t="s">
        <v>52</v>
      </c>
      <c r="H233" s="10"/>
      <c r="I233" s="10"/>
    </row>
    <row r="234" ht="15.75" customHeight="1"/>
    <row r="235" ht="15.75" customHeight="1"/>
    <row r="236" ht="15.75" customHeight="1">
      <c r="B236" s="41" t="s">
        <v>116</v>
      </c>
      <c r="C236" s="2"/>
      <c r="D236" s="2"/>
      <c r="E236" s="2"/>
      <c r="F236" s="2"/>
      <c r="G236" s="2"/>
      <c r="H236" s="2"/>
      <c r="I236" s="2"/>
    </row>
    <row r="237" ht="15.75" customHeight="1">
      <c r="B237" s="43" t="s">
        <v>0</v>
      </c>
      <c r="C237" s="43" t="s">
        <v>96</v>
      </c>
      <c r="D237" s="42" t="s">
        <v>61</v>
      </c>
      <c r="E237" s="42" t="s">
        <v>75</v>
      </c>
      <c r="F237" s="43" t="s">
        <v>83</v>
      </c>
      <c r="G237" s="43" t="s">
        <v>90</v>
      </c>
      <c r="H237" s="43" t="s">
        <v>93</v>
      </c>
      <c r="I237" s="44" t="s">
        <v>94</v>
      </c>
    </row>
    <row r="238" ht="15.75" customHeight="1">
      <c r="B238" s="45"/>
      <c r="C238" s="45"/>
      <c r="D238" s="45"/>
      <c r="E238" s="45"/>
      <c r="F238" s="45"/>
      <c r="G238" s="45"/>
      <c r="H238" s="45"/>
      <c r="I238" s="45"/>
    </row>
    <row r="239" ht="15.75" customHeight="1">
      <c r="A239" s="8" t="s">
        <v>44</v>
      </c>
      <c r="B239" s="10"/>
      <c r="C239" s="17"/>
      <c r="D239" s="9">
        <v>34.0</v>
      </c>
      <c r="E239" s="9">
        <v>25.0</v>
      </c>
      <c r="F239" s="10"/>
      <c r="G239" s="10"/>
      <c r="H239" s="10"/>
      <c r="I239" s="9">
        <v>21.0</v>
      </c>
    </row>
    <row r="240" ht="15.75" customHeight="1">
      <c r="A240" s="8" t="s">
        <v>45</v>
      </c>
      <c r="B240" s="10"/>
      <c r="C240" s="17"/>
      <c r="D240" s="9">
        <v>26.0</v>
      </c>
      <c r="E240" s="9">
        <v>21.0</v>
      </c>
      <c r="F240" s="10"/>
      <c r="G240" s="10"/>
      <c r="H240" s="10"/>
      <c r="I240" s="9">
        <v>17.0</v>
      </c>
    </row>
    <row r="241" ht="15.75" customHeight="1">
      <c r="A241" s="8" t="s">
        <v>46</v>
      </c>
      <c r="B241" s="10"/>
      <c r="C241" s="17"/>
      <c r="D241" s="9">
        <v>138.0</v>
      </c>
      <c r="E241" s="9">
        <v>111.0</v>
      </c>
      <c r="F241" s="10"/>
      <c r="G241" s="10"/>
      <c r="H241" s="10"/>
      <c r="I241" s="9">
        <v>81.0</v>
      </c>
    </row>
    <row r="242" ht="15.75" customHeight="1">
      <c r="A242" s="8" t="s">
        <v>47</v>
      </c>
      <c r="B242" s="10"/>
      <c r="C242" s="17"/>
      <c r="D242" s="9">
        <v>107.0</v>
      </c>
      <c r="E242" s="9">
        <v>107.0</v>
      </c>
      <c r="F242" s="10"/>
      <c r="G242" s="10"/>
      <c r="H242" s="10"/>
      <c r="I242" s="9">
        <v>66.0</v>
      </c>
    </row>
    <row r="243" ht="15.75" customHeight="1">
      <c r="A243" s="15" t="s">
        <v>49</v>
      </c>
      <c r="B243" s="14"/>
      <c r="C243" s="69"/>
      <c r="D243" s="16">
        <v>0.775</v>
      </c>
      <c r="E243" s="16">
        <v>0.964</v>
      </c>
      <c r="F243" s="17"/>
      <c r="G243" s="14"/>
      <c r="H243" s="14"/>
      <c r="I243" s="16">
        <v>0.815</v>
      </c>
    </row>
    <row r="244" ht="15.75" customHeight="1">
      <c r="A244" s="12" t="s">
        <v>48</v>
      </c>
      <c r="B244" s="17"/>
      <c r="C244" s="17"/>
      <c r="D244" s="13">
        <v>13.0</v>
      </c>
      <c r="E244" s="13">
        <v>13.0</v>
      </c>
      <c r="F244" s="14"/>
      <c r="G244" s="17"/>
      <c r="H244" s="17"/>
      <c r="I244" s="13">
        <v>13.0</v>
      </c>
    </row>
    <row r="245" ht="15.75" customHeight="1">
      <c r="A245" s="15" t="s">
        <v>50</v>
      </c>
      <c r="B245" s="50"/>
      <c r="C245" s="17"/>
      <c r="D245" s="9">
        <v>4.82</v>
      </c>
      <c r="E245" s="9">
        <v>3.09</v>
      </c>
      <c r="F245" s="50"/>
      <c r="G245" s="50"/>
      <c r="H245" s="10"/>
      <c r="I245" s="9">
        <v>3.08</v>
      </c>
    </row>
    <row r="246" ht="15.75" customHeight="1">
      <c r="A246" s="8" t="s">
        <v>51</v>
      </c>
      <c r="B246" s="10"/>
      <c r="C246" s="17"/>
      <c r="D246" s="9" t="s">
        <v>59</v>
      </c>
      <c r="E246" s="9" t="s">
        <v>59</v>
      </c>
      <c r="F246" s="10"/>
      <c r="G246" s="10"/>
      <c r="H246" s="10"/>
      <c r="I246" s="9" t="s">
        <v>52</v>
      </c>
    </row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73">
    <mergeCell ref="I159:I160"/>
    <mergeCell ref="B171:I171"/>
    <mergeCell ref="B172:B173"/>
    <mergeCell ref="C172:C173"/>
    <mergeCell ref="D172:D173"/>
    <mergeCell ref="E172:E173"/>
    <mergeCell ref="F172:F173"/>
    <mergeCell ref="I172:I173"/>
    <mergeCell ref="B184:I184"/>
    <mergeCell ref="B185:B186"/>
    <mergeCell ref="C185:C186"/>
    <mergeCell ref="D185:D186"/>
    <mergeCell ref="E185:E186"/>
    <mergeCell ref="F185:F186"/>
    <mergeCell ref="I185:I186"/>
    <mergeCell ref="I120:I121"/>
    <mergeCell ref="B132:I132"/>
    <mergeCell ref="B133:B134"/>
    <mergeCell ref="C133:C134"/>
    <mergeCell ref="D133:D134"/>
    <mergeCell ref="E133:E134"/>
    <mergeCell ref="F133:F134"/>
    <mergeCell ref="G146:G147"/>
    <mergeCell ref="H146:H147"/>
    <mergeCell ref="I133:I134"/>
    <mergeCell ref="B145:I145"/>
    <mergeCell ref="B146:B147"/>
    <mergeCell ref="C146:C147"/>
    <mergeCell ref="D146:D147"/>
    <mergeCell ref="E146:E147"/>
    <mergeCell ref="F146:F147"/>
    <mergeCell ref="G159:G160"/>
    <mergeCell ref="H159:H160"/>
    <mergeCell ref="I146:I147"/>
    <mergeCell ref="B158:I158"/>
    <mergeCell ref="B159:B160"/>
    <mergeCell ref="C159:C160"/>
    <mergeCell ref="D159:D160"/>
    <mergeCell ref="E159:E160"/>
    <mergeCell ref="F159:F160"/>
    <mergeCell ref="G172:G173"/>
    <mergeCell ref="H172:H173"/>
    <mergeCell ref="F237:F238"/>
    <mergeCell ref="G237:G238"/>
    <mergeCell ref="H3:H4"/>
    <mergeCell ref="I3:I4"/>
    <mergeCell ref="B2:I2"/>
    <mergeCell ref="C3:C4"/>
    <mergeCell ref="D3:D4"/>
    <mergeCell ref="E3:E4"/>
    <mergeCell ref="F3:F4"/>
    <mergeCell ref="G3:G4"/>
    <mergeCell ref="B15:I15"/>
    <mergeCell ref="B3:B4"/>
    <mergeCell ref="B16:B17"/>
    <mergeCell ref="C16:C17"/>
    <mergeCell ref="D16:D17"/>
    <mergeCell ref="E16:E17"/>
    <mergeCell ref="F16:F17"/>
    <mergeCell ref="G16:G17"/>
    <mergeCell ref="F29:F30"/>
    <mergeCell ref="G29:G30"/>
    <mergeCell ref="H29:H30"/>
    <mergeCell ref="I29:I30"/>
    <mergeCell ref="H16:H17"/>
    <mergeCell ref="I16:I17"/>
    <mergeCell ref="B28:I28"/>
    <mergeCell ref="C29:C30"/>
    <mergeCell ref="D29:D30"/>
    <mergeCell ref="E29:E30"/>
    <mergeCell ref="B41:I41"/>
    <mergeCell ref="B29:B30"/>
    <mergeCell ref="B42:B43"/>
    <mergeCell ref="C42:C43"/>
    <mergeCell ref="D42:D43"/>
    <mergeCell ref="E42:E43"/>
    <mergeCell ref="F42:F43"/>
    <mergeCell ref="G42:G43"/>
    <mergeCell ref="F55:F56"/>
    <mergeCell ref="G55:G56"/>
    <mergeCell ref="H55:H56"/>
    <mergeCell ref="I55:I56"/>
    <mergeCell ref="H42:H43"/>
    <mergeCell ref="I42:I43"/>
    <mergeCell ref="B54:I54"/>
    <mergeCell ref="C55:C56"/>
    <mergeCell ref="D55:D56"/>
    <mergeCell ref="E55:E56"/>
    <mergeCell ref="B67:I67"/>
    <mergeCell ref="B55:B56"/>
    <mergeCell ref="B68:B69"/>
    <mergeCell ref="C68:C69"/>
    <mergeCell ref="D68:D69"/>
    <mergeCell ref="E68:E69"/>
    <mergeCell ref="F68:F69"/>
    <mergeCell ref="G68:G69"/>
    <mergeCell ref="F81:F82"/>
    <mergeCell ref="G81:G82"/>
    <mergeCell ref="H81:H82"/>
    <mergeCell ref="I81:I82"/>
    <mergeCell ref="H94:H95"/>
    <mergeCell ref="I94:I95"/>
    <mergeCell ref="H68:H69"/>
    <mergeCell ref="I68:I69"/>
    <mergeCell ref="B80:I80"/>
    <mergeCell ref="C81:C82"/>
    <mergeCell ref="D81:D82"/>
    <mergeCell ref="E81:E82"/>
    <mergeCell ref="B93:I93"/>
    <mergeCell ref="B81:B82"/>
    <mergeCell ref="B94:B95"/>
    <mergeCell ref="C94:C95"/>
    <mergeCell ref="D94:D95"/>
    <mergeCell ref="E94:E95"/>
    <mergeCell ref="F94:F95"/>
    <mergeCell ref="G94:G95"/>
    <mergeCell ref="G107:G108"/>
    <mergeCell ref="H107:H108"/>
    <mergeCell ref="A106:D106"/>
    <mergeCell ref="E106:I106"/>
    <mergeCell ref="B107:B108"/>
    <mergeCell ref="C107:C108"/>
    <mergeCell ref="D107:D108"/>
    <mergeCell ref="E107:E108"/>
    <mergeCell ref="F107:F108"/>
    <mergeCell ref="G120:G121"/>
    <mergeCell ref="H120:H121"/>
    <mergeCell ref="I107:I108"/>
    <mergeCell ref="B119:I119"/>
    <mergeCell ref="B120:B121"/>
    <mergeCell ref="C120:C121"/>
    <mergeCell ref="D120:D121"/>
    <mergeCell ref="E120:E121"/>
    <mergeCell ref="F120:F121"/>
    <mergeCell ref="G133:G134"/>
    <mergeCell ref="H133:H134"/>
    <mergeCell ref="H198:H199"/>
    <mergeCell ref="I198:I199"/>
    <mergeCell ref="G185:G186"/>
    <mergeCell ref="H185:H186"/>
    <mergeCell ref="B197:I197"/>
    <mergeCell ref="B198:B199"/>
    <mergeCell ref="C198:C199"/>
    <mergeCell ref="D198:D199"/>
    <mergeCell ref="E198:E199"/>
    <mergeCell ref="H211:H212"/>
    <mergeCell ref="I211:I212"/>
    <mergeCell ref="F198:F199"/>
    <mergeCell ref="G198:G199"/>
    <mergeCell ref="B210:I210"/>
    <mergeCell ref="B211:B212"/>
    <mergeCell ref="C211:C212"/>
    <mergeCell ref="D211:D212"/>
    <mergeCell ref="E211:E212"/>
    <mergeCell ref="G224:G225"/>
    <mergeCell ref="H224:H225"/>
    <mergeCell ref="F211:F212"/>
    <mergeCell ref="G211:G212"/>
    <mergeCell ref="B223:D223"/>
    <mergeCell ref="E223:I223"/>
    <mergeCell ref="B224:B225"/>
    <mergeCell ref="C224:C225"/>
    <mergeCell ref="D224:D225"/>
    <mergeCell ref="I224:I225"/>
    <mergeCell ref="H237:H238"/>
    <mergeCell ref="I237:I238"/>
    <mergeCell ref="E224:E225"/>
    <mergeCell ref="F224:F225"/>
    <mergeCell ref="B236:I236"/>
    <mergeCell ref="B237:B238"/>
    <mergeCell ref="C237:C238"/>
    <mergeCell ref="D237:D238"/>
    <mergeCell ref="E237:E238"/>
  </mergeCells>
  <printOptions/>
  <pageMargins bottom="0.984027777777778" footer="0.0" header="0.0" left="0.747916666666667" right="0.747916666666667" top="0.984027777777778"/>
  <pageSetup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/>
    <row r="2" ht="15.75" customHeight="1"/>
    <row r="3" ht="15.75" customHeight="1"/>
    <row r="4" ht="15.75" customHeight="1"/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984027777777778" footer="0.0" header="0.0" left="0.747916666666667" right="0.747916666666667" top="0.984027777777778"/>
  <pageSetup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2.63" defaultRowHeight="15.0"/>
  <cols>
    <col customWidth="1" min="1" max="1" width="21.63"/>
    <col customWidth="1" min="2" max="2" width="12.63"/>
    <col customWidth="1" min="3" max="3" width="17.0"/>
    <col customWidth="1" min="4" max="4" width="17.25"/>
    <col customWidth="1" min="5" max="6" width="15.5"/>
    <col customWidth="1" min="10" max="10" width="15.13"/>
    <col customWidth="1" min="11" max="11" width="14.63"/>
  </cols>
  <sheetData>
    <row r="1" ht="15.75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</row>
    <row r="2" ht="15.75" customHeight="1">
      <c r="A2" s="3" t="s">
        <v>1</v>
      </c>
      <c r="B2" s="4" t="s">
        <v>2</v>
      </c>
      <c r="C2" s="4" t="s">
        <v>3</v>
      </c>
      <c r="D2" s="4" t="s">
        <v>4</v>
      </c>
      <c r="E2" s="4" t="s">
        <v>4</v>
      </c>
      <c r="F2" s="4" t="s">
        <v>5</v>
      </c>
      <c r="G2" s="4" t="s">
        <v>6</v>
      </c>
      <c r="H2" s="4" t="s">
        <v>7</v>
      </c>
      <c r="I2" s="4" t="s">
        <v>8</v>
      </c>
      <c r="J2" s="4" t="s">
        <v>8</v>
      </c>
      <c r="K2" s="4" t="s">
        <v>9</v>
      </c>
      <c r="L2" s="76" t="s">
        <v>10</v>
      </c>
    </row>
    <row r="3" ht="15.75" customHeight="1">
      <c r="A3" s="6" t="s">
        <v>20</v>
      </c>
      <c r="B3" s="7" t="s">
        <v>21</v>
      </c>
      <c r="C3" s="7" t="s">
        <v>22</v>
      </c>
      <c r="D3" s="7" t="s">
        <v>23</v>
      </c>
      <c r="E3" s="7" t="s">
        <v>24</v>
      </c>
      <c r="F3" s="7" t="s">
        <v>25</v>
      </c>
      <c r="G3" s="7" t="s">
        <v>26</v>
      </c>
      <c r="H3" s="7" t="s">
        <v>27</v>
      </c>
      <c r="I3" s="7" t="s">
        <v>28</v>
      </c>
      <c r="J3" s="7" t="s">
        <v>29</v>
      </c>
      <c r="K3" s="7" t="s">
        <v>30</v>
      </c>
      <c r="L3" s="76" t="s">
        <v>31</v>
      </c>
    </row>
    <row r="4" ht="15.75" customHeight="1">
      <c r="A4" s="8" t="s">
        <v>44</v>
      </c>
      <c r="B4" s="9">
        <v>7.0</v>
      </c>
      <c r="C4" s="9">
        <v>17.0</v>
      </c>
      <c r="D4" s="9">
        <v>9.0</v>
      </c>
      <c r="E4" s="9">
        <v>15.0</v>
      </c>
      <c r="F4" s="9">
        <v>11.0</v>
      </c>
      <c r="G4" s="9">
        <v>13.0</v>
      </c>
      <c r="H4" s="9">
        <v>4.0</v>
      </c>
      <c r="I4" s="9">
        <v>20.0</v>
      </c>
      <c r="J4" s="9">
        <v>14.0</v>
      </c>
      <c r="K4" s="9">
        <v>5.0</v>
      </c>
      <c r="L4" s="77"/>
    </row>
    <row r="5" ht="15.75" customHeight="1">
      <c r="A5" s="8" t="s">
        <v>45</v>
      </c>
      <c r="B5" s="9">
        <v>7.0</v>
      </c>
      <c r="C5" s="9">
        <v>15.0</v>
      </c>
      <c r="D5" s="9">
        <v>8.0</v>
      </c>
      <c r="E5" s="9">
        <v>13.0</v>
      </c>
      <c r="F5" s="9">
        <v>10.0</v>
      </c>
      <c r="G5" s="9">
        <v>12.0</v>
      </c>
      <c r="H5" s="9">
        <v>3.0</v>
      </c>
      <c r="I5" s="9">
        <v>19.0</v>
      </c>
      <c r="J5" s="9">
        <v>14.0</v>
      </c>
      <c r="K5" s="9">
        <v>5.0</v>
      </c>
      <c r="L5" s="77"/>
    </row>
    <row r="6" ht="15.75" customHeight="1">
      <c r="A6" s="8" t="s">
        <v>46</v>
      </c>
      <c r="B6" s="9">
        <v>11.0</v>
      </c>
      <c r="C6" s="9">
        <v>44.0</v>
      </c>
      <c r="D6" s="9">
        <v>21.0</v>
      </c>
      <c r="E6" s="9">
        <v>58.0</v>
      </c>
      <c r="F6" s="9">
        <v>33.0</v>
      </c>
      <c r="G6" s="9">
        <v>31.0</v>
      </c>
      <c r="H6" s="9">
        <v>4.0</v>
      </c>
      <c r="I6" s="9">
        <v>95.0</v>
      </c>
      <c r="J6" s="9">
        <v>53.0</v>
      </c>
      <c r="K6" s="9">
        <v>5.0</v>
      </c>
      <c r="L6" s="77"/>
    </row>
    <row r="7" ht="15.75" customHeight="1">
      <c r="A7" s="8" t="s">
        <v>47</v>
      </c>
      <c r="B7" s="9">
        <v>11.0</v>
      </c>
      <c r="C7" s="9">
        <v>40.0</v>
      </c>
      <c r="D7" s="9">
        <v>20.0</v>
      </c>
      <c r="E7" s="9">
        <v>56.0</v>
      </c>
      <c r="F7" s="9">
        <v>32.0</v>
      </c>
      <c r="G7" s="9">
        <v>26.0</v>
      </c>
      <c r="H7" s="9">
        <v>3.0</v>
      </c>
      <c r="I7" s="9">
        <v>93.0</v>
      </c>
      <c r="J7" s="9">
        <v>53.0</v>
      </c>
      <c r="K7" s="9">
        <v>5.0</v>
      </c>
      <c r="L7" s="77"/>
    </row>
    <row r="8" ht="27.0" customHeight="1">
      <c r="A8" s="12" t="s">
        <v>48</v>
      </c>
      <c r="B8" s="13">
        <v>6.0</v>
      </c>
      <c r="C8" s="13">
        <v>10.0</v>
      </c>
      <c r="D8" s="13">
        <v>5.0</v>
      </c>
      <c r="E8" s="13">
        <v>8.0</v>
      </c>
      <c r="F8" s="13">
        <v>5.0</v>
      </c>
      <c r="G8" s="13">
        <v>8.0</v>
      </c>
      <c r="H8" s="13">
        <v>1.0</v>
      </c>
      <c r="I8" s="13">
        <v>12.0</v>
      </c>
      <c r="J8" s="13">
        <v>8.0</v>
      </c>
      <c r="K8" s="13">
        <v>5.0</v>
      </c>
      <c r="L8" s="78"/>
    </row>
    <row r="9" ht="15.75" hidden="1" customHeight="1">
      <c r="A9" s="15" t="s">
        <v>49</v>
      </c>
      <c r="B9" s="16">
        <f t="shared" ref="B9:K9" si="1">(B7)/(B6)</f>
        <v>1</v>
      </c>
      <c r="C9" s="16">
        <f t="shared" si="1"/>
        <v>0.9090909091</v>
      </c>
      <c r="D9" s="16">
        <f t="shared" si="1"/>
        <v>0.9523809524</v>
      </c>
      <c r="E9" s="16">
        <f t="shared" si="1"/>
        <v>0.9655172414</v>
      </c>
      <c r="F9" s="16">
        <f t="shared" si="1"/>
        <v>0.9696969697</v>
      </c>
      <c r="G9" s="16">
        <f t="shared" si="1"/>
        <v>0.8387096774</v>
      </c>
      <c r="H9" s="16">
        <f t="shared" si="1"/>
        <v>0.75</v>
      </c>
      <c r="I9" s="16">
        <f t="shared" si="1"/>
        <v>0.9789473684</v>
      </c>
      <c r="J9" s="16">
        <f t="shared" si="1"/>
        <v>1</v>
      </c>
      <c r="K9" s="16">
        <f t="shared" si="1"/>
        <v>1</v>
      </c>
      <c r="L9" s="79"/>
    </row>
    <row r="10" ht="15.75" customHeight="1">
      <c r="A10" s="15" t="s">
        <v>50</v>
      </c>
      <c r="B10" s="18">
        <v>1.82</v>
      </c>
      <c r="C10" s="18">
        <v>3.08</v>
      </c>
      <c r="D10" s="18">
        <v>3.27</v>
      </c>
      <c r="E10" s="18">
        <v>3.1</v>
      </c>
      <c r="F10" s="18">
        <v>2.56</v>
      </c>
      <c r="G10" s="18">
        <v>2.6</v>
      </c>
      <c r="H10" s="18">
        <v>3.95</v>
      </c>
      <c r="I10" s="18">
        <v>2.13</v>
      </c>
      <c r="J10" s="18">
        <v>3.34</v>
      </c>
      <c r="K10" s="18">
        <v>1.5</v>
      </c>
      <c r="L10" s="80"/>
    </row>
    <row r="11" ht="15.75" hidden="1" customHeight="1">
      <c r="A11" s="20" t="s">
        <v>51</v>
      </c>
      <c r="B11" s="9" t="s">
        <v>52</v>
      </c>
      <c r="C11" s="9" t="s">
        <v>53</v>
      </c>
      <c r="D11" s="9" t="s">
        <v>54</v>
      </c>
      <c r="E11" s="9" t="s">
        <v>52</v>
      </c>
      <c r="F11" s="9" t="s">
        <v>54</v>
      </c>
      <c r="G11" s="9" t="s">
        <v>52</v>
      </c>
      <c r="H11" s="9" t="s">
        <v>54</v>
      </c>
      <c r="I11" s="9" t="s">
        <v>53</v>
      </c>
      <c r="J11" s="9" t="s">
        <v>52</v>
      </c>
      <c r="K11" s="9" t="s">
        <v>54</v>
      </c>
      <c r="L11" s="77"/>
    </row>
    <row r="12" ht="15.75" hidden="1" customHeight="1">
      <c r="A12" s="21" t="s">
        <v>55</v>
      </c>
    </row>
    <row r="13" ht="15.75" customHeight="1"/>
    <row r="14" ht="15.75" customHeight="1">
      <c r="A14" s="22" t="s">
        <v>96</v>
      </c>
    </row>
    <row r="15" ht="15.75" customHeight="1">
      <c r="A15" s="23" t="s">
        <v>1</v>
      </c>
      <c r="B15" s="76" t="s">
        <v>2</v>
      </c>
      <c r="C15" s="76" t="s">
        <v>3</v>
      </c>
      <c r="D15" s="76" t="s">
        <v>4</v>
      </c>
      <c r="E15" s="76" t="s">
        <v>4</v>
      </c>
      <c r="F15" s="76" t="s">
        <v>5</v>
      </c>
      <c r="G15" s="7" t="s">
        <v>15</v>
      </c>
      <c r="H15" s="7" t="s">
        <v>7</v>
      </c>
      <c r="I15" s="7" t="s">
        <v>19</v>
      </c>
      <c r="J15" s="7" t="s">
        <v>19</v>
      </c>
      <c r="K15" s="76" t="s">
        <v>9</v>
      </c>
      <c r="L15" s="76" t="s">
        <v>10</v>
      </c>
    </row>
    <row r="16" ht="15.75" customHeight="1">
      <c r="A16" s="23" t="s">
        <v>20</v>
      </c>
      <c r="B16" s="76" t="s">
        <v>21</v>
      </c>
      <c r="C16" s="76" t="s">
        <v>22</v>
      </c>
      <c r="D16" s="76" t="s">
        <v>23</v>
      </c>
      <c r="E16" s="76" t="s">
        <v>24</v>
      </c>
      <c r="F16" s="76" t="s">
        <v>25</v>
      </c>
      <c r="G16" s="7" t="s">
        <v>26</v>
      </c>
      <c r="H16" s="7" t="s">
        <v>27</v>
      </c>
      <c r="I16" s="7" t="s">
        <v>28</v>
      </c>
      <c r="J16" s="7" t="s">
        <v>29</v>
      </c>
      <c r="K16" s="76" t="s">
        <v>30</v>
      </c>
      <c r="L16" s="76" t="s">
        <v>31</v>
      </c>
    </row>
    <row r="17" ht="15.75" customHeight="1">
      <c r="A17" s="25" t="s">
        <v>57</v>
      </c>
      <c r="B17" s="81"/>
      <c r="C17" s="81"/>
      <c r="D17" s="81"/>
      <c r="E17" s="81"/>
      <c r="F17" s="81"/>
      <c r="G17" s="9">
        <v>14.0</v>
      </c>
      <c r="H17" s="9">
        <v>6.0</v>
      </c>
      <c r="I17" s="9">
        <v>22.0</v>
      </c>
      <c r="J17" s="9">
        <v>16.0</v>
      </c>
      <c r="K17" s="77"/>
      <c r="L17" s="77"/>
    </row>
    <row r="18" ht="15.75" customHeight="1">
      <c r="A18" s="25" t="s">
        <v>58</v>
      </c>
      <c r="B18" s="81"/>
      <c r="C18" s="81"/>
      <c r="D18" s="81"/>
      <c r="E18" s="81"/>
      <c r="F18" s="81"/>
      <c r="G18" s="9">
        <v>7.0</v>
      </c>
      <c r="H18" s="9">
        <v>4.0</v>
      </c>
      <c r="I18" s="9">
        <v>14.0</v>
      </c>
      <c r="J18" s="9">
        <v>8.0</v>
      </c>
      <c r="K18" s="77"/>
      <c r="L18" s="77"/>
    </row>
    <row r="19" ht="15.75" customHeight="1">
      <c r="A19" s="25" t="s">
        <v>46</v>
      </c>
      <c r="B19" s="81"/>
      <c r="C19" s="81"/>
      <c r="D19" s="81"/>
      <c r="E19" s="81"/>
      <c r="F19" s="81"/>
      <c r="G19" s="9">
        <v>139.0</v>
      </c>
      <c r="H19" s="9">
        <v>53.0</v>
      </c>
      <c r="I19" s="9">
        <v>220.0</v>
      </c>
      <c r="J19" s="9">
        <v>134.0</v>
      </c>
      <c r="K19" s="77"/>
      <c r="L19" s="77"/>
    </row>
    <row r="20" ht="15.75" customHeight="1">
      <c r="A20" s="25" t="s">
        <v>47</v>
      </c>
      <c r="B20" s="81"/>
      <c r="C20" s="81"/>
      <c r="D20" s="81"/>
      <c r="E20" s="81"/>
      <c r="F20" s="81"/>
      <c r="G20" s="9">
        <v>109.0</v>
      </c>
      <c r="H20" s="9">
        <v>39.0</v>
      </c>
      <c r="I20" s="9">
        <v>180.0</v>
      </c>
      <c r="J20" s="9">
        <v>94.0</v>
      </c>
      <c r="K20" s="77"/>
      <c r="L20" s="77"/>
    </row>
    <row r="21" ht="15.75" hidden="1" customHeight="1">
      <c r="A21" s="15" t="s">
        <v>49</v>
      </c>
      <c r="B21" s="81"/>
      <c r="C21" s="81"/>
      <c r="D21" s="82"/>
      <c r="E21" s="82"/>
      <c r="F21" s="81"/>
      <c r="G21" s="16">
        <v>0.784</v>
      </c>
      <c r="H21" s="16">
        <v>0.736</v>
      </c>
      <c r="I21" s="16">
        <v>0.818</v>
      </c>
      <c r="J21" s="16">
        <v>0.701</v>
      </c>
      <c r="K21" s="79"/>
      <c r="L21" s="78"/>
    </row>
    <row r="22" ht="15.75" customHeight="1">
      <c r="A22" s="30" t="s">
        <v>48</v>
      </c>
      <c r="B22" s="81"/>
      <c r="C22" s="81"/>
      <c r="D22" s="81"/>
      <c r="E22" s="81"/>
      <c r="F22" s="81"/>
      <c r="G22" s="13">
        <v>5.0</v>
      </c>
      <c r="H22" s="13">
        <v>1.0</v>
      </c>
      <c r="I22" s="13">
        <v>8.0</v>
      </c>
      <c r="J22" s="13">
        <v>5.0</v>
      </c>
      <c r="K22" s="78"/>
      <c r="L22" s="79"/>
    </row>
    <row r="23" ht="15.75" customHeight="1">
      <c r="A23" s="15" t="s">
        <v>50</v>
      </c>
      <c r="B23" s="83"/>
      <c r="C23" s="83"/>
      <c r="D23" s="83"/>
      <c r="E23" s="83"/>
      <c r="F23" s="83"/>
      <c r="G23" s="18">
        <v>2.72</v>
      </c>
      <c r="H23" s="18">
        <v>3.71</v>
      </c>
      <c r="I23" s="18">
        <v>2.92</v>
      </c>
      <c r="J23" s="18">
        <v>3.45</v>
      </c>
      <c r="K23" s="80"/>
      <c r="L23" s="80"/>
    </row>
    <row r="24" ht="15.75" hidden="1" customHeight="1">
      <c r="A24" s="25" t="s">
        <v>51</v>
      </c>
      <c r="B24" s="81"/>
      <c r="C24" s="81"/>
      <c r="D24" s="81"/>
      <c r="E24" s="81"/>
      <c r="F24" s="81"/>
      <c r="G24" s="9" t="s">
        <v>54</v>
      </c>
      <c r="H24" s="9" t="s">
        <v>54</v>
      </c>
      <c r="I24" s="9" t="s">
        <v>52</v>
      </c>
      <c r="J24" s="9" t="s">
        <v>54</v>
      </c>
      <c r="K24" s="77"/>
      <c r="L24" s="77"/>
    </row>
    <row r="25" ht="15.75" hidden="1" customHeight="1">
      <c r="A25" s="21" t="s">
        <v>55</v>
      </c>
    </row>
    <row r="26" ht="15.75" customHeight="1"/>
    <row r="27" ht="15.75" customHeight="1"/>
    <row r="28" ht="15.75" customHeight="1">
      <c r="A28" s="22" t="s">
        <v>61</v>
      </c>
    </row>
    <row r="29" ht="15.75" customHeight="1">
      <c r="A29" s="23" t="s">
        <v>1</v>
      </c>
      <c r="B29" s="7" t="s">
        <v>62</v>
      </c>
      <c r="C29" s="7" t="s">
        <v>63</v>
      </c>
      <c r="D29" s="7" t="s">
        <v>64</v>
      </c>
      <c r="E29" s="7" t="s">
        <v>65</v>
      </c>
      <c r="F29" s="7" t="s">
        <v>14</v>
      </c>
      <c r="G29" s="7" t="s">
        <v>15</v>
      </c>
      <c r="H29" s="7" t="s">
        <v>13</v>
      </c>
      <c r="I29" s="7" t="s">
        <v>19</v>
      </c>
      <c r="J29" s="7" t="s">
        <v>19</v>
      </c>
      <c r="K29" s="7" t="s">
        <v>9</v>
      </c>
      <c r="L29" s="76" t="s">
        <v>10</v>
      </c>
    </row>
    <row r="30" ht="15.75" customHeight="1">
      <c r="A30" s="23" t="s">
        <v>66</v>
      </c>
      <c r="B30" s="7" t="s">
        <v>21</v>
      </c>
      <c r="C30" s="7" t="s">
        <v>67</v>
      </c>
      <c r="D30" s="7" t="s">
        <v>23</v>
      </c>
      <c r="E30" s="7" t="s">
        <v>68</v>
      </c>
      <c r="F30" s="7" t="s">
        <v>69</v>
      </c>
      <c r="G30" s="7" t="s">
        <v>26</v>
      </c>
      <c r="H30" s="7" t="s">
        <v>70</v>
      </c>
      <c r="I30" s="7" t="s">
        <v>28</v>
      </c>
      <c r="J30" s="7" t="s">
        <v>71</v>
      </c>
      <c r="K30" s="7" t="s">
        <v>72</v>
      </c>
      <c r="L30" s="76" t="s">
        <v>31</v>
      </c>
    </row>
    <row r="31" ht="15.75" customHeight="1">
      <c r="A31" s="25" t="s">
        <v>44</v>
      </c>
      <c r="B31" s="9">
        <v>27.0</v>
      </c>
      <c r="C31" s="9">
        <v>20.0</v>
      </c>
      <c r="D31" s="9">
        <v>18.0</v>
      </c>
      <c r="E31" s="9">
        <v>21.0</v>
      </c>
      <c r="F31" s="9">
        <v>31.0</v>
      </c>
      <c r="G31" s="9">
        <v>18.0</v>
      </c>
      <c r="H31" s="9">
        <v>19.0</v>
      </c>
      <c r="I31" s="9">
        <v>31.0</v>
      </c>
      <c r="J31" s="9">
        <v>21.0</v>
      </c>
      <c r="K31" s="9">
        <v>25.0</v>
      </c>
      <c r="L31" s="77"/>
    </row>
    <row r="32" ht="15.75" customHeight="1">
      <c r="A32" s="25" t="s">
        <v>45</v>
      </c>
      <c r="B32" s="9">
        <v>21.0</v>
      </c>
      <c r="C32" s="9">
        <v>15.0</v>
      </c>
      <c r="D32" s="9">
        <v>12.0</v>
      </c>
      <c r="E32" s="9">
        <v>14.0</v>
      </c>
      <c r="F32" s="9">
        <v>22.0</v>
      </c>
      <c r="G32" s="9">
        <v>18.0</v>
      </c>
      <c r="H32" s="9">
        <v>14.0</v>
      </c>
      <c r="I32" s="9">
        <v>20.0</v>
      </c>
      <c r="J32" s="9">
        <v>16.0</v>
      </c>
      <c r="K32" s="9">
        <v>17.0</v>
      </c>
      <c r="L32" s="77"/>
    </row>
    <row r="33" ht="15.75" customHeight="1">
      <c r="A33" s="25" t="s">
        <v>46</v>
      </c>
      <c r="B33" s="9">
        <v>69.0</v>
      </c>
      <c r="C33" s="9">
        <v>86.0</v>
      </c>
      <c r="D33" s="9">
        <v>53.0</v>
      </c>
      <c r="E33" s="9">
        <v>64.0</v>
      </c>
      <c r="F33" s="9">
        <v>114.0</v>
      </c>
      <c r="G33" s="9">
        <v>62.0</v>
      </c>
      <c r="H33" s="9">
        <v>50.0</v>
      </c>
      <c r="I33" s="9">
        <v>138.0</v>
      </c>
      <c r="J33" s="9">
        <v>59.0</v>
      </c>
      <c r="K33" s="9">
        <v>66.0</v>
      </c>
      <c r="L33" s="77"/>
    </row>
    <row r="34" ht="15.75" customHeight="1">
      <c r="A34" s="25" t="s">
        <v>47</v>
      </c>
      <c r="B34" s="9">
        <v>56.0</v>
      </c>
      <c r="C34" s="9">
        <v>68.0</v>
      </c>
      <c r="D34" s="9">
        <v>25.0</v>
      </c>
      <c r="E34" s="9">
        <v>40.0</v>
      </c>
      <c r="F34" s="9">
        <v>94.0</v>
      </c>
      <c r="G34" s="9">
        <v>62.0</v>
      </c>
      <c r="H34" s="9">
        <v>39.0</v>
      </c>
      <c r="I34" s="9">
        <v>108.0</v>
      </c>
      <c r="J34" s="9">
        <v>35.0</v>
      </c>
      <c r="K34" s="9">
        <v>36.0</v>
      </c>
      <c r="L34" s="77"/>
    </row>
    <row r="35" ht="15.75" hidden="1" customHeight="1">
      <c r="A35" s="25" t="s">
        <v>49</v>
      </c>
      <c r="B35" s="16">
        <v>0.812</v>
      </c>
      <c r="C35" s="16">
        <v>0.791</v>
      </c>
      <c r="D35" s="16">
        <v>0.472</v>
      </c>
      <c r="E35" s="16">
        <v>0.625</v>
      </c>
      <c r="F35" s="16">
        <v>0.825</v>
      </c>
      <c r="G35" s="16">
        <v>1.0</v>
      </c>
      <c r="H35" s="16">
        <v>0.78</v>
      </c>
      <c r="I35" s="16">
        <v>0.783</v>
      </c>
      <c r="J35" s="16">
        <v>0.593</v>
      </c>
      <c r="K35" s="16">
        <v>0.545</v>
      </c>
      <c r="L35" s="78"/>
      <c r="N35" s="84"/>
      <c r="O35" s="84"/>
      <c r="Q35" s="84"/>
      <c r="S35" s="84"/>
    </row>
    <row r="36" ht="15.75" customHeight="1">
      <c r="A36" s="30" t="s">
        <v>48</v>
      </c>
      <c r="B36" s="13">
        <v>11.0</v>
      </c>
      <c r="C36" s="13">
        <v>9.0</v>
      </c>
      <c r="D36" s="13">
        <v>6.0</v>
      </c>
      <c r="E36" s="13">
        <v>11.0</v>
      </c>
      <c r="F36" s="13">
        <v>12.0</v>
      </c>
      <c r="G36" s="13">
        <v>10.0</v>
      </c>
      <c r="H36" s="13">
        <v>7.0</v>
      </c>
      <c r="I36" s="13">
        <v>13.0</v>
      </c>
      <c r="J36" s="13">
        <v>11.0</v>
      </c>
      <c r="K36" s="13">
        <v>10.0</v>
      </c>
      <c r="L36" s="79"/>
    </row>
    <row r="37" ht="15.75" customHeight="1">
      <c r="A37" s="15" t="s">
        <v>50</v>
      </c>
      <c r="B37" s="18">
        <v>3.34</v>
      </c>
      <c r="C37" s="18">
        <v>3.6</v>
      </c>
      <c r="D37" s="18">
        <v>4.56</v>
      </c>
      <c r="E37" s="18">
        <v>2.89</v>
      </c>
      <c r="F37" s="18">
        <v>3.83</v>
      </c>
      <c r="G37" s="18">
        <v>3.76</v>
      </c>
      <c r="H37" s="18">
        <v>3.62</v>
      </c>
      <c r="I37" s="18">
        <v>3.03</v>
      </c>
      <c r="J37" s="18">
        <v>3.29</v>
      </c>
      <c r="K37" s="18">
        <v>4.05</v>
      </c>
      <c r="L37" s="80"/>
    </row>
    <row r="38" ht="15.75" hidden="1" customHeight="1">
      <c r="A38" s="25" t="s">
        <v>51</v>
      </c>
      <c r="B38" s="9" t="s">
        <v>74</v>
      </c>
      <c r="C38" s="9" t="s">
        <v>53</v>
      </c>
      <c r="D38" s="9" t="s">
        <v>52</v>
      </c>
      <c r="E38" s="9" t="s">
        <v>52</v>
      </c>
      <c r="F38" s="9" t="s">
        <v>53</v>
      </c>
      <c r="G38" s="9" t="s">
        <v>52</v>
      </c>
      <c r="H38" s="9" t="s">
        <v>52</v>
      </c>
      <c r="I38" s="9" t="s">
        <v>53</v>
      </c>
      <c r="J38" s="9" t="s">
        <v>52</v>
      </c>
      <c r="K38" s="9" t="s">
        <v>52</v>
      </c>
      <c r="L38" s="77"/>
    </row>
    <row r="39" ht="15.75" hidden="1" customHeight="1">
      <c r="A39" s="21" t="s">
        <v>55</v>
      </c>
    </row>
    <row r="40" ht="15.75" customHeight="1"/>
    <row r="41" ht="15.75" customHeight="1">
      <c r="A41" s="22" t="s">
        <v>75</v>
      </c>
    </row>
    <row r="42" ht="15.75" customHeight="1">
      <c r="A42" s="23" t="s">
        <v>1</v>
      </c>
      <c r="B42" s="7" t="s">
        <v>62</v>
      </c>
      <c r="C42" s="7" t="s">
        <v>76</v>
      </c>
      <c r="D42" s="7" t="s">
        <v>77</v>
      </c>
      <c r="E42" s="7" t="s">
        <v>77</v>
      </c>
      <c r="F42" s="7" t="s">
        <v>14</v>
      </c>
      <c r="G42" s="7" t="s">
        <v>15</v>
      </c>
      <c r="H42" s="7" t="s">
        <v>13</v>
      </c>
      <c r="I42" s="76" t="s">
        <v>19</v>
      </c>
      <c r="J42" s="76" t="s">
        <v>19</v>
      </c>
      <c r="K42" s="7" t="s">
        <v>78</v>
      </c>
      <c r="L42" s="76" t="s">
        <v>10</v>
      </c>
    </row>
    <row r="43" ht="15.75" customHeight="1">
      <c r="A43" s="23" t="s">
        <v>66</v>
      </c>
      <c r="B43" s="7" t="s">
        <v>79</v>
      </c>
      <c r="C43" s="7" t="s">
        <v>80</v>
      </c>
      <c r="D43" s="7" t="s">
        <v>23</v>
      </c>
      <c r="E43" s="7" t="s">
        <v>24</v>
      </c>
      <c r="F43" s="7" t="s">
        <v>40</v>
      </c>
      <c r="G43" s="7" t="s">
        <v>81</v>
      </c>
      <c r="H43" s="7" t="s">
        <v>27</v>
      </c>
      <c r="I43" s="76" t="s">
        <v>28</v>
      </c>
      <c r="J43" s="76" t="s">
        <v>71</v>
      </c>
      <c r="K43" s="7" t="s">
        <v>82</v>
      </c>
      <c r="L43" s="76" t="s">
        <v>31</v>
      </c>
    </row>
    <row r="44" ht="15.75" customHeight="1">
      <c r="A44" s="25" t="s">
        <v>44</v>
      </c>
      <c r="B44" s="9">
        <v>19.0</v>
      </c>
      <c r="C44" s="9">
        <v>22.0</v>
      </c>
      <c r="D44" s="9">
        <v>7.0</v>
      </c>
      <c r="E44" s="9">
        <v>22.0</v>
      </c>
      <c r="F44" s="9">
        <v>18.0</v>
      </c>
      <c r="G44" s="9">
        <v>27.0</v>
      </c>
      <c r="H44" s="9">
        <v>19.0</v>
      </c>
      <c r="I44" s="77"/>
      <c r="J44" s="77"/>
      <c r="K44" s="9">
        <v>29.0</v>
      </c>
      <c r="L44" s="77"/>
    </row>
    <row r="45" ht="15.75" customHeight="1">
      <c r="A45" s="25" t="s">
        <v>45</v>
      </c>
      <c r="B45" s="9">
        <v>13.0</v>
      </c>
      <c r="C45" s="9">
        <v>19.0</v>
      </c>
      <c r="D45" s="9">
        <v>3.0</v>
      </c>
      <c r="E45" s="9">
        <v>15.0</v>
      </c>
      <c r="F45" s="9">
        <v>14.0</v>
      </c>
      <c r="G45" s="9">
        <v>20.0</v>
      </c>
      <c r="H45" s="9">
        <v>15.0</v>
      </c>
      <c r="I45" s="77"/>
      <c r="J45" s="77"/>
      <c r="K45" s="9">
        <v>18.0</v>
      </c>
      <c r="L45" s="77"/>
    </row>
    <row r="46" ht="15.75" customHeight="1">
      <c r="A46" s="25" t="s">
        <v>46</v>
      </c>
      <c r="B46" s="9">
        <v>70.0</v>
      </c>
      <c r="C46" s="9">
        <v>155.0</v>
      </c>
      <c r="D46" s="9">
        <v>16.0</v>
      </c>
      <c r="E46" s="9">
        <v>85.0</v>
      </c>
      <c r="F46" s="9">
        <v>53.0</v>
      </c>
      <c r="G46" s="9">
        <v>107.0</v>
      </c>
      <c r="H46" s="9">
        <v>124.0</v>
      </c>
      <c r="I46" s="77"/>
      <c r="J46" s="77"/>
      <c r="K46" s="9">
        <v>77.0</v>
      </c>
      <c r="L46" s="77"/>
    </row>
    <row r="47" ht="15.75" customHeight="1">
      <c r="A47" s="25" t="s">
        <v>47</v>
      </c>
      <c r="B47" s="9">
        <v>59.0</v>
      </c>
      <c r="C47" s="9">
        <v>152.0</v>
      </c>
      <c r="D47" s="9">
        <v>11.0</v>
      </c>
      <c r="E47" s="9">
        <v>72.0</v>
      </c>
      <c r="F47" s="9">
        <v>44.0</v>
      </c>
      <c r="G47" s="9">
        <v>89.0</v>
      </c>
      <c r="H47" s="9">
        <v>118.0</v>
      </c>
      <c r="I47" s="77"/>
      <c r="J47" s="77"/>
      <c r="K47" s="9">
        <v>62.0</v>
      </c>
      <c r="L47" s="77"/>
    </row>
    <row r="48" ht="15.75" hidden="1" customHeight="1">
      <c r="A48" s="25" t="s">
        <v>49</v>
      </c>
      <c r="B48" s="16">
        <v>0.843</v>
      </c>
      <c r="C48" s="16">
        <v>0.981</v>
      </c>
      <c r="D48" s="16">
        <v>0.688</v>
      </c>
      <c r="E48" s="16">
        <v>0.847</v>
      </c>
      <c r="F48" s="16">
        <v>0.83</v>
      </c>
      <c r="G48" s="16">
        <v>0.832</v>
      </c>
      <c r="H48" s="16">
        <v>0.952</v>
      </c>
      <c r="I48" s="78"/>
      <c r="J48" s="78"/>
      <c r="K48" s="16">
        <v>0.805</v>
      </c>
      <c r="L48" s="78"/>
    </row>
    <row r="49" ht="15.75" customHeight="1">
      <c r="A49" s="30" t="s">
        <v>48</v>
      </c>
      <c r="B49" s="13">
        <v>8.0</v>
      </c>
      <c r="C49" s="13">
        <v>12.0</v>
      </c>
      <c r="D49" s="13">
        <v>1.0</v>
      </c>
      <c r="E49" s="13">
        <v>10.0</v>
      </c>
      <c r="F49" s="13">
        <v>8.0</v>
      </c>
      <c r="G49" s="13">
        <v>16.0</v>
      </c>
      <c r="H49" s="13">
        <v>10.0</v>
      </c>
      <c r="I49" s="79"/>
      <c r="J49" s="79"/>
      <c r="K49" s="13">
        <v>14.0</v>
      </c>
      <c r="L49" s="79"/>
    </row>
    <row r="50" ht="15.75" customHeight="1">
      <c r="A50" s="15" t="s">
        <v>50</v>
      </c>
      <c r="B50" s="18">
        <v>3.69</v>
      </c>
      <c r="C50" s="18">
        <v>2.9</v>
      </c>
      <c r="D50" s="18">
        <v>4.58</v>
      </c>
      <c r="E50" s="18">
        <v>3.49</v>
      </c>
      <c r="F50" s="18">
        <v>3.45</v>
      </c>
      <c r="G50" s="18">
        <v>3.16</v>
      </c>
      <c r="H50" s="18">
        <v>3.46</v>
      </c>
      <c r="I50" s="80"/>
      <c r="J50" s="80"/>
      <c r="K50" s="18">
        <v>3.72</v>
      </c>
      <c r="L50" s="80"/>
    </row>
    <row r="51" ht="15.75" hidden="1" customHeight="1">
      <c r="A51" s="25" t="s">
        <v>51</v>
      </c>
      <c r="B51" s="9" t="s">
        <v>74</v>
      </c>
      <c r="C51" s="9" t="s">
        <v>53</v>
      </c>
      <c r="D51" s="9" t="s">
        <v>54</v>
      </c>
      <c r="E51" s="9" t="s">
        <v>52</v>
      </c>
      <c r="F51" s="9" t="s">
        <v>52</v>
      </c>
      <c r="G51" s="9" t="s">
        <v>53</v>
      </c>
      <c r="H51" s="9" t="s">
        <v>52</v>
      </c>
      <c r="I51" s="77"/>
      <c r="J51" s="77"/>
      <c r="K51" s="9" t="s">
        <v>52</v>
      </c>
      <c r="L51" s="77"/>
    </row>
    <row r="52" ht="15.75" hidden="1" customHeight="1">
      <c r="A52" s="21" t="s">
        <v>55</v>
      </c>
    </row>
    <row r="53" ht="15.75" customHeight="1"/>
    <row r="54" ht="15.75" customHeight="1">
      <c r="A54" s="22" t="s">
        <v>83</v>
      </c>
    </row>
    <row r="55" ht="15.75" customHeight="1">
      <c r="A55" s="23" t="s">
        <v>1</v>
      </c>
      <c r="B55" s="7" t="s">
        <v>62</v>
      </c>
      <c r="C55" s="7" t="s">
        <v>63</v>
      </c>
      <c r="D55" s="7" t="s">
        <v>4</v>
      </c>
      <c r="E55" s="7" t="s">
        <v>4</v>
      </c>
      <c r="F55" s="7" t="s">
        <v>14</v>
      </c>
      <c r="G55" s="7" t="s">
        <v>15</v>
      </c>
      <c r="H55" s="7" t="s">
        <v>13</v>
      </c>
      <c r="I55" s="7" t="s">
        <v>19</v>
      </c>
      <c r="J55" s="7" t="s">
        <v>19</v>
      </c>
      <c r="K55" s="7" t="s">
        <v>78</v>
      </c>
      <c r="L55" s="7" t="s">
        <v>10</v>
      </c>
    </row>
    <row r="56" ht="15.75" customHeight="1">
      <c r="A56" s="23" t="s">
        <v>66</v>
      </c>
      <c r="B56" s="7" t="s">
        <v>84</v>
      </c>
      <c r="C56" s="7" t="s">
        <v>85</v>
      </c>
      <c r="D56" s="7" t="s">
        <v>23</v>
      </c>
      <c r="E56" s="7" t="s">
        <v>86</v>
      </c>
      <c r="F56" s="7" t="s">
        <v>40</v>
      </c>
      <c r="G56" s="7" t="s">
        <v>87</v>
      </c>
      <c r="H56" s="7" t="s">
        <v>27</v>
      </c>
      <c r="I56" s="7" t="s">
        <v>28</v>
      </c>
      <c r="J56" s="7" t="s">
        <v>88</v>
      </c>
      <c r="K56" s="7" t="s">
        <v>89</v>
      </c>
      <c r="L56" s="7" t="s">
        <v>31</v>
      </c>
    </row>
    <row r="57" ht="15.75" customHeight="1">
      <c r="A57" s="25" t="s">
        <v>44</v>
      </c>
      <c r="B57" s="9">
        <v>14.0</v>
      </c>
      <c r="C57" s="9">
        <v>30.0</v>
      </c>
      <c r="D57" s="9">
        <v>19.0</v>
      </c>
      <c r="E57" s="9">
        <v>23.0</v>
      </c>
      <c r="F57" s="9">
        <v>31.0</v>
      </c>
      <c r="G57" s="9">
        <v>27.0</v>
      </c>
      <c r="H57" s="9">
        <v>29.0</v>
      </c>
      <c r="I57" s="9">
        <v>35.0</v>
      </c>
      <c r="J57" s="9">
        <v>33.0</v>
      </c>
      <c r="K57" s="9">
        <v>20.0</v>
      </c>
      <c r="L57" s="9">
        <v>18.0</v>
      </c>
    </row>
    <row r="58" ht="15.75" customHeight="1">
      <c r="A58" s="25" t="s">
        <v>45</v>
      </c>
      <c r="B58" s="9">
        <v>10.0</v>
      </c>
      <c r="C58" s="9">
        <v>23.0</v>
      </c>
      <c r="D58" s="9">
        <v>11.0</v>
      </c>
      <c r="E58" s="9">
        <v>16.0</v>
      </c>
      <c r="F58" s="9">
        <v>19.0</v>
      </c>
      <c r="G58" s="9">
        <v>19.0</v>
      </c>
      <c r="H58" s="9">
        <v>18.0</v>
      </c>
      <c r="I58" s="9">
        <v>24.0</v>
      </c>
      <c r="J58" s="9">
        <v>21.0</v>
      </c>
      <c r="K58" s="9">
        <v>12.0</v>
      </c>
      <c r="L58" s="9">
        <v>11.0</v>
      </c>
    </row>
    <row r="59" ht="15.75" customHeight="1">
      <c r="A59" s="25" t="s">
        <v>46</v>
      </c>
      <c r="B59" s="9">
        <v>21.0</v>
      </c>
      <c r="C59" s="9">
        <v>142.0</v>
      </c>
      <c r="D59" s="9">
        <v>53.0</v>
      </c>
      <c r="E59" s="9">
        <v>77.0</v>
      </c>
      <c r="F59" s="9">
        <v>132.0</v>
      </c>
      <c r="G59" s="9">
        <v>133.0</v>
      </c>
      <c r="H59" s="9">
        <v>113.0</v>
      </c>
      <c r="I59" s="9">
        <v>193.0</v>
      </c>
      <c r="J59" s="9">
        <v>171.0</v>
      </c>
      <c r="K59" s="9">
        <v>86.0</v>
      </c>
      <c r="L59" s="9">
        <v>72.0</v>
      </c>
    </row>
    <row r="60" ht="15.75" customHeight="1">
      <c r="A60" s="25" t="s">
        <v>47</v>
      </c>
      <c r="B60" s="9">
        <v>16.0</v>
      </c>
      <c r="C60" s="9">
        <v>111.0</v>
      </c>
      <c r="D60" s="9">
        <v>42.0</v>
      </c>
      <c r="E60" s="9">
        <v>57.0</v>
      </c>
      <c r="F60" s="9">
        <v>107.0</v>
      </c>
      <c r="G60" s="9">
        <v>108.0</v>
      </c>
      <c r="H60" s="9">
        <v>94.0</v>
      </c>
      <c r="I60" s="9">
        <v>155.0</v>
      </c>
      <c r="J60" s="9">
        <v>151.0</v>
      </c>
      <c r="K60" s="9">
        <v>67.0</v>
      </c>
      <c r="L60" s="9">
        <v>57.0</v>
      </c>
    </row>
    <row r="61" ht="15.75" hidden="1" customHeight="1">
      <c r="A61" s="25" t="s">
        <v>49</v>
      </c>
      <c r="B61" s="16">
        <v>0.761904761904762</v>
      </c>
      <c r="C61" s="16">
        <v>0.78169014084507</v>
      </c>
      <c r="D61" s="16">
        <v>0.792452830188679</v>
      </c>
      <c r="E61" s="16">
        <v>0.74025974025974</v>
      </c>
      <c r="F61" s="16">
        <v>0.810606060606061</v>
      </c>
      <c r="G61" s="16">
        <v>0.81203007518797</v>
      </c>
      <c r="H61" s="16">
        <v>0.831858407079646</v>
      </c>
      <c r="I61" s="16">
        <v>0.803108808290155</v>
      </c>
      <c r="J61" s="16">
        <v>0.883040935672515</v>
      </c>
      <c r="K61" s="16">
        <v>0.779069767441861</v>
      </c>
      <c r="L61" s="16">
        <v>0.791666666666667</v>
      </c>
    </row>
    <row r="62" ht="15.75" customHeight="1">
      <c r="A62" s="30" t="s">
        <v>48</v>
      </c>
      <c r="B62" s="13">
        <v>8.0</v>
      </c>
      <c r="C62" s="13">
        <v>16.0</v>
      </c>
      <c r="D62" s="13">
        <v>4.0</v>
      </c>
      <c r="E62" s="13">
        <v>8.0</v>
      </c>
      <c r="F62" s="13">
        <v>10.0</v>
      </c>
      <c r="G62" s="13">
        <v>14.0</v>
      </c>
      <c r="H62" s="13">
        <v>14.0</v>
      </c>
      <c r="I62" s="13">
        <v>22.0</v>
      </c>
      <c r="J62" s="13">
        <v>17.0</v>
      </c>
      <c r="K62" s="13">
        <v>9.0</v>
      </c>
      <c r="L62" s="13">
        <v>5.0</v>
      </c>
    </row>
    <row r="63" ht="15.75" customHeight="1">
      <c r="A63" s="15" t="s">
        <v>50</v>
      </c>
      <c r="B63" s="18">
        <v>2.5</v>
      </c>
      <c r="C63" s="18">
        <v>3.048</v>
      </c>
      <c r="D63" s="18">
        <v>4.293</v>
      </c>
      <c r="E63" s="18">
        <v>3.965</v>
      </c>
      <c r="F63" s="18">
        <v>3.85</v>
      </c>
      <c r="G63" s="18">
        <v>3.6</v>
      </c>
      <c r="H63" s="18">
        <v>3.955</v>
      </c>
      <c r="I63" s="18">
        <v>2.473</v>
      </c>
      <c r="J63" s="18">
        <v>3.104</v>
      </c>
      <c r="K63" s="18">
        <v>3.587</v>
      </c>
      <c r="L63" s="18">
        <v>4.608</v>
      </c>
    </row>
    <row r="64" ht="15.75" hidden="1" customHeight="1">
      <c r="A64" s="25" t="s">
        <v>51</v>
      </c>
      <c r="B64" s="9" t="s">
        <v>117</v>
      </c>
      <c r="C64" s="9" t="s">
        <v>74</v>
      </c>
      <c r="D64" s="9" t="s">
        <v>52</v>
      </c>
      <c r="E64" s="9" t="s">
        <v>118</v>
      </c>
      <c r="F64" s="9" t="s">
        <v>59</v>
      </c>
      <c r="G64" s="9" t="s">
        <v>53</v>
      </c>
      <c r="H64" s="9" t="s">
        <v>52</v>
      </c>
      <c r="I64" s="9" t="s">
        <v>53</v>
      </c>
      <c r="J64" s="9" t="s">
        <v>53</v>
      </c>
      <c r="K64" s="9" t="s">
        <v>52</v>
      </c>
      <c r="L64" s="9" t="s">
        <v>52</v>
      </c>
    </row>
    <row r="65" ht="15.75" hidden="1" customHeight="1">
      <c r="A65" s="21" t="s">
        <v>55</v>
      </c>
    </row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>
      <c r="D77" s="85" t="s">
        <v>52</v>
      </c>
    </row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5">
    <mergeCell ref="A1:K1"/>
    <mergeCell ref="A14:K14"/>
    <mergeCell ref="A28:K28"/>
    <mergeCell ref="A41:K41"/>
    <mergeCell ref="A54:K54"/>
  </mergeCells>
  <printOptions gridLines="1" horizontalCentered="1"/>
  <pageMargins bottom="0.75" footer="0.0" header="0.0" left="0.7" right="0.7" top="0.75"/>
  <pageSetup fitToHeight="0" orientation="landscape" pageOrder="overThenDown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